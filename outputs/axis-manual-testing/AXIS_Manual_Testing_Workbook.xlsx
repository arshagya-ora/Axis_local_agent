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f1eb8ccbb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" sheetId="1" r:id="R61ba211cddbe425b"/>
    <x:sheet xmlns:r="http://schemas.openxmlformats.org/officeDocument/2006/relationships" name="Manual Test Cases" sheetId="2" r:id="R2d4c9b2db6864e2c"/>
    <x:sheet xmlns:r="http://schemas.openxmlformats.org/officeDocument/2006/relationships" name="Issues &amp; Logs" sheetId="3" r:id="Rb5a3923d6f7e42a5"/>
    <x:sheet xmlns:r="http://schemas.openxmlformats.org/officeDocument/2006/relationships" name="Long Context" sheetId="4" r:id="R056e3fcd2af64c9a"/>
    <x:sheet xmlns:r="http://schemas.openxmlformats.org/officeDocument/2006/relationships" name="Storage Review" sheetId="5" r:id="R173cfdc403a3436c"/>
    <x:sheet xmlns:r="http://schemas.openxmlformats.org/officeDocument/2006/relationships" name="Recommendations" sheetId="6" r:id="R5755a70d80f7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1"/>
      <x:color rgb="FFFFFFFF"/>
      <x:name val="Arial"/>
    </x:font>
    <x:font>
      <x:b/>
      <x:sz val="10"/>
      <x:color rgb="FF167D8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67D86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5DCE3"/>
      </x:bottom>
    </x:border>
    <x:border>
      <x:top style="thin">
        <x:color rgb="FFD5DCE3"/>
      </x:top>
      <x:bottom style="thin">
        <x:color rgb="FFD5DCE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3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200" fontId="5" fillId="3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vertical="top"/>
    </x:xf>
    <x:xf numFmtId="200" fontId="5" fillId="3" borderId="3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1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166b4a21a42f7" /><Relationship Type="http://schemas.openxmlformats.org/officeDocument/2006/relationships/theme" Target="/xl/theme/theme1.xml" Id="Ra0a5f16759714b0c" /><Relationship Type="http://schemas.openxmlformats.org/officeDocument/2006/relationships/sharedStrings" Target="/xl/sharedStrings.xml" Id="Rf2a6ca5b1b324659" /><Relationship Type="http://schemas.openxmlformats.org/officeDocument/2006/relationships/worksheet" Target="/xl/worksheets/sheet1.xml" Id="R61ba211cddbe425b" /><Relationship Type="http://schemas.openxmlformats.org/officeDocument/2006/relationships/worksheet" Target="/xl/worksheets/sheet2.xml" Id="R2d4c9b2db6864e2c" /><Relationship Type="http://schemas.openxmlformats.org/officeDocument/2006/relationships/worksheet" Target="/xl/worksheets/sheet3.xml" Id="Rb5a3923d6f7e42a5" /><Relationship Type="http://schemas.openxmlformats.org/officeDocument/2006/relationships/worksheet" Target="/xl/worksheets/sheet4.xml" Id="R056e3fcd2af64c9a" /><Relationship Type="http://schemas.openxmlformats.org/officeDocument/2006/relationships/worksheet" Target="/xl/worksheets/sheet5.xml" Id="R173cfdc403a3436c" /><Relationship Type="http://schemas.openxmlformats.org/officeDocument/2006/relationships/worksheet" Target="/xl/worksheets/sheet6.xml" Id="R5755a70d80f741e0" /></Relationships>
</file>

<file path=xl/tables/table1.xml><?xml version="1.0" encoding="utf-8"?>
<x:table xmlns:x="http://schemas.openxmlformats.org/spreadsheetml/2006/main" id="1" name="ManualCasesTable" displayName="ManualCasesTable" ref="A5:V45" headerRowCount="1" totalsRowCount="0" totalsRowShown="0">
  <x:tableColumns count="22">
    <x:tableColumn id="1" name="Test ID"/>
    <x:tableColumn id="2" name="Area"/>
    <x:tableColumn id="3" name="Scenario"/>
    <x:tableColumn id="4" name="Manual instruction / prompt"/>
    <x:tableColumn id="5" name="Expected result and benchmark"/>
    <x:tableColumn id="6" name="Priority"/>
    <x:tableColumn id="7" name="Run #"/>
    <x:tableColumn id="8" name="Tester"/>
    <x:tableColumn id="9" name="Date"/>
    <x:tableColumn id="10" name="Configuration"/>
    <x:tableColumn id="11" name="Result"/>
    <x:tableColumn id="12" name="Severity"/>
    <x:tableColumn id="13" name="Reproducible"/>
    <x:tableColumn id="14" name="Model requests"/>
    <x:tableColumn id="15" name="Navigator steps"/>
    <x:tableColumn id="16" name="Browser actions"/>
    <x:tableColumn id="17" name="Input tokens"/>
    <x:tableColumn id="18" name="Output tokens"/>
    <x:tableColumn id="19" name="Duration (sec)"/>
    <x:tableColumn id="20" name="Evidence / log reference"/>
    <x:tableColumn id="21" name="Actual result and observations"/>
    <x:tableColumn id="22" name="Issu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sTable" displayName="IssuesTable" ref="A5:O35" headerRowCount="1" totalsRowCount="0" totalsRowShown="0">
  <x:tableColumns count="15">
    <x:tableColumn id="1" name="Issue ID"/>
    <x:tableColumn id="2" name="Related Test ID"/>
    <x:tableColumn id="3" name="Date"/>
    <x:tableColumn id="4" name="Component"/>
    <x:tableColumn id="5" name="Severity"/>
    <x:tableColumn id="6" name="Issue description"/>
    <x:tableColumn id="7" name="Expected behavior"/>
    <x:tableColumn id="8" name="Actual behavior"/>
    <x:tableColumn id="9" name="Steps to reproduce"/>
    <x:tableColumn id="10" name="Frequency"/>
    <x:tableColumn id="11" name="Log / evidence reference"/>
    <x:tableColumn id="12" name="Suggested fix"/>
    <x:tableColumn id="13" name="Status"/>
    <x:tableColumn id="14" name="Owner"/>
    <x:tableColumn id="15" name="Target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ngContextTable" displayName="LongContextTable" ref="A5:V30" headerRowCount="1" totalsRowCount="0" totalsRowShown="0">
  <x:tableColumns count="22">
    <x:tableColumn id="1" name="Run ID"/>
    <x:tableColumn id="2" name="Scenario"/>
    <x:tableColumn id="3" name="Follow-up target"/>
    <x:tableColumn id="4" name="Request budget"/>
    <x:tableColumn id="5" name="Step budget"/>
    <x:tableColumn id="6" name="Action budget"/>
    <x:tableColumn id="7" name="Actual follow-ups"/>
    <x:tableColumn id="8" name="Status"/>
    <x:tableColumn id="9" name="Facts tested"/>
    <x:tableColumn id="10" name="Facts retained"/>
    <x:tableColumn id="11" name="Retention rate"/>
    <x:tableColumn id="12" name="Constraint violations"/>
    <x:tableColumn id="13" name="Model requests used"/>
    <x:tableColumn id="14" name="Steps used"/>
    <x:tableColumn id="15" name="Actions used"/>
    <x:tableColumn id="16" name="Input tokens"/>
    <x:tableColumn id="17" name="Output tokens"/>
    <x:tableColumn id="18" name="Duration (sec)"/>
    <x:tableColumn id="19" name="Failure point / limit"/>
    <x:tableColumn id="20" name="Partial answer quality"/>
    <x:tableColumn id="21" name="Context loss, repetition, or looping"/>
    <x:tableColumn id="22" name="Recommendati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torageReviewTable" displayName="StorageReviewTable" ref="A5:K30" headerRowCount="1" totalsRowCount="0" totalsRowShown="0">
  <x:tableColumns count="11">
    <x:tableColumn id="1" name="Review ID"/>
    <x:tableColumn id="2" name="Area"/>
    <x:tableColumn id="3" name="Manual test / review"/>
    <x:tableColumn id="4" name="Expected result"/>
    <x:tableColumn id="5" name="Result"/>
    <x:tableColumn id="6" name="Risk"/>
    <x:tableColumn id="7" name="Evidence / query used"/>
    <x:tableColumn id="8" name="Observation"/>
    <x:tableColumn id="9" name="Suggested improvement"/>
    <x:tableColumn id="10" name="Trade-offs"/>
    <x:tableColumn id="11" name="Issue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mendationsTable" displayName="RecommendationsTable" ref="A5:M25" headerRowCount="1" totalsRowCount="0" totalsRowShown="0">
  <x:tableColumns count="13">
    <x:tableColumn id="1" name="Recommendation ID"/>
    <x:tableColumn id="2" name="Related Issue / Test"/>
    <x:tableColumn id="3" name="Area"/>
    <x:tableColumn id="4" name="Current behavior"/>
    <x:tableColumn id="5" name="Proposed solution"/>
    <x:tableColumn id="6" name="Evidence"/>
    <x:tableColumn id="7" name="Benefit"/>
    <x:tableColumn id="8" name="Risk / trade-off"/>
    <x:tableColumn id="9" name="Effort"/>
    <x:tableColumn id="10" name="Priority"/>
    <x:tableColumn id="11" name="Owner"/>
    <x:tableColumn id="12" name="Decision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6ec71e45d3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afc791f19c4c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35f272e4a6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1808f89f245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ae2d74c86446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28" hidden="0" customWidth="1"/>
    <x:col min="5" max="5" width="20" hidden="0" customWidth="1"/>
    <x:col min="6" max="6" width="14" hidden="0" customWidth="1"/>
    <x:col min="7" max="7" width="14" hidden="0" customWidth="1"/>
    <x:col min="8" max="8" width="3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4" customHeight="1">
      <x:c r="A2" s="38" t="str">
        <x:v>AXIS Manual Testing Workbook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Manual end-to-end evaluation only. Do not rerun the automated test suites.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Test execution summary</x:v>
      </x:c>
      <x:c r="B5" s="40" t="str">
        <x:v>Value</x:v>
      </x:c>
      <x:c r="C5" s="37"/>
      <x:c r="D5" s="40" t="str">
        <x:v>Release benchmarks</x:v>
      </x:c>
      <x:c r="E5" s="40" t="str">
        <x:v>Target</x:v>
      </x:c>
      <x:c r="F5" s="40" t="str">
        <x:v>Result</x:v>
      </x:c>
      <x:c r="G5" s="40" t="str">
        <x:v>Status</x:v>
      </x:c>
      <x:c r="H5" s="40" t="str">
        <x:v>Notes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41" t="str">
        <x:v>Total manual scenarios</x:v>
      </x:c>
      <x:c r="B6" s="42" t="n">
        <x:f>COUNTIF('Manual Test Cases'!A6:A200,"?*")</x:f>
        <x:v>0</x:v>
      </x:c>
      <x:c r="C6" s="37"/>
      <x:c r="D6" s="22" t="str">
        <x:v>Important scenarios repeated</x:v>
      </x:c>
      <x:c r="E6" s="22" t="str">
        <x:v>At least 3 runs each</x:v>
      </x:c>
      <x:c r="F6" s="24" t="str"/>
      <x:c r="G6" s="24" t="str"/>
      <x:c r="H6" s="22" t="str">
        <x:v>Record variability across runs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43" t="str">
        <x:v>Completed</x:v>
      </x:c>
      <x:c r="B7" s="44" t="n">
        <x:f>COUNTIF('Manual Test Cases'!K6:K200,"Pass")+COUNTIF('Manual Test Cases'!K6:K200,"Fail")+COUNTIF('Manual Test Cases'!K6:K200,"Blocked")</x:f>
        <x:v>0</x:v>
      </x:c>
      <x:c r="C7" s="37"/>
      <x:c r="D7" s="23" t="str">
        <x:v>Overall manual task success</x:v>
      </x:c>
      <x:c r="E7" s="23" t="str">
        <x:v>&gt;=95%</x:v>
      </x:c>
      <x:c r="F7" s="25" t="str"/>
      <x:c r="G7" s="25" t="str"/>
      <x:c r="H7" s="23" t="str">
        <x:v>Exclude prerequisite-unavailable runs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43" t="str">
        <x:v>Passed</x:v>
      </x:c>
      <x:c r="B8" s="44" t="n">
        <x:f>COUNTIF('Manual Test Cases'!K6:K200,"Pass")</x:f>
        <x:v>0</x:v>
      </x:c>
      <x:c r="C8" s="37"/>
      <x:c r="D8" s="23" t="str">
        <x:v>False completion</x:v>
      </x:c>
      <x:c r="E8" s="23" t="str">
        <x:v>0</x:v>
      </x:c>
      <x:c r="F8" s="25" t="str"/>
      <x:c r="G8" s="25" t="str"/>
      <x:c r="H8" s="23" t="str">
        <x:v>Any false completion is release-blocking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43" t="str">
        <x:v>Failed</x:v>
      </x:c>
      <x:c r="B9" s="44" t="n">
        <x:f>COUNTIF('Manual Test Cases'!K6:K200,"Fail")</x:f>
        <x:v>0</x:v>
      </x:c>
      <x:c r="C9" s="37"/>
      <x:c r="D9" s="23" t="str">
        <x:v>Duplicate consequential actions</x:v>
      </x:c>
      <x:c r="E9" s="23" t="str">
        <x:v>0</x:v>
      </x:c>
      <x:c r="F9" s="25" t="str"/>
      <x:c r="G9" s="25" t="str"/>
      <x:c r="H9" s="23" t="str">
        <x:v>No repeated submit, download, or mutation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43" t="str">
        <x:v>Blocked</x:v>
      </x:c>
      <x:c r="B10" s="44" t="n">
        <x:f>COUNTIF('Manual Test Cases'!K6:K200,"Blocked")</x:f>
        <x:v>0</x:v>
      </x:c>
      <x:c r="C10" s="37"/>
      <x:c r="D10" s="23" t="str">
        <x:v>Context retention</x:v>
      </x:c>
      <x:c r="E10" s="23" t="str">
        <x:v>&gt;=95% factual recall</x:v>
      </x:c>
      <x:c r="F10" s="25" t="str"/>
      <x:c r="G10" s="25" t="str"/>
      <x:c r="H10" s="23" t="str">
        <x:v>Critical instructions and constraints must be 100% retained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43" t="str">
        <x:v>Pass rate</x:v>
      </x:c>
      <x:c r="B11" s="45" t="str">
        <x:f>IF(B7=0,"n.a.",B8/B7)</x:f>
        <x:v>n.a.</x:v>
      </x:c>
      <x:c r="C11" s="37"/>
      <x:c r="D11" s="23" t="str">
        <x:v>Cross-conversation leakage</x:v>
      </x:c>
      <x:c r="E11" s="23" t="str">
        <x:v>0</x:v>
      </x:c>
      <x:c r="F11" s="25" t="str"/>
      <x:c r="G11" s="25" t="str"/>
      <x:c r="H11" s="23" t="str">
        <x:v>No facts or state may cross conversations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43" t="str">
        <x:v>Open critical/high issues</x:v>
      </x:c>
      <x:c r="B12" s="44" t="n">
        <x:f>COUNTIFS('Issues &amp; Logs'!E6:E100,"Critical",'Issues &amp; Logs'!M6:M100,"&lt;&gt;Closed")+COUNTIFS('Issues &amp; Logs'!E6:E100,"High",'Issues &amp; Logs'!M6:M100,"&lt;&gt;Closed")</x:f>
        <x:v>0</x:v>
      </x:c>
      <x:c r="C12" s="37"/>
      <x:c r="D12" s="23" t="str">
        <x:v>Critical/high open issues</x:v>
      </x:c>
      <x:c r="E12" s="23" t="str">
        <x:v>0</x:v>
      </x:c>
      <x:c r="F12" s="25" t="str"/>
      <x:c r="G12" s="25" t="str"/>
      <x:c r="H12" s="23" t="str">
        <x:v>Resolve or explicitly accept before release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46" t="str">
        <x:v>Execution guidance</x:v>
      </x:c>
      <x:c r="B15" s="46"/>
      <x:c r="C15" s="46"/>
      <x:c r="D15" s="46"/>
      <x:c r="E15" s="46"/>
      <x:c r="F15" s="46"/>
      <x:c r="G15" s="46"/>
      <x:c r="H15" s="46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 ht="34" customHeight="1">
      <x:c r="A16" s="47" t="str">
        <x:v>1</x:v>
      </x:c>
      <x:c r="B16" s="22" t="str">
        <x:v>Complete setup from the README and use the full debug trace. Test only with non-destructive tasks and approved data.</x:v>
      </x:c>
      <x:c r="C16" s="22" t="str"/>
      <x:c r="D16" s="22" t="str"/>
      <x:c r="E16" s="22" t="str"/>
      <x:c r="F16" s="22" t="str"/>
      <x:c r="G16" s="22" t="str"/>
      <x:c r="H16" s="22" t="str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34" customHeight="1">
      <x:c r="A17" s="48" t="str">
        <x:v>2</x:v>
      </x:c>
      <x:c r="B17" s="23" t="str">
        <x:v>Repeat important and model-dependent scenarios at least three times. Use a fresh run where independence matters.</x:v>
      </x:c>
      <x:c r="C17" s="23" t="str"/>
      <x:c r="D17" s="23" t="str"/>
      <x:c r="E17" s="23" t="str"/>
      <x:c r="F17" s="23" t="str"/>
      <x:c r="G17" s="23" t="str"/>
      <x:c r="H17" s="23" t="str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 ht="34" customHeight="1">
      <x:c r="A18" s="48" t="str">
        <x:v>3</x:v>
      </x:c>
      <x:c r="B18" s="23" t="str">
        <x:v>Capture exact prompts, configuration, model-request count, navigator steps, browser actions, tokens, duration, and supporting evidence.</x:v>
      </x:c>
      <x:c r="C18" s="23" t="str"/>
      <x:c r="D18" s="23" t="str"/>
      <x:c r="E18" s="23" t="str"/>
      <x:c r="F18" s="23" t="str"/>
      <x:c r="G18" s="23" t="str"/>
      <x:c r="H18" s="23" t="str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 ht="34" customHeight="1">
      <x:c r="A19" s="48" t="str">
        <x:v>4</x:v>
      </x:c>
      <x:c r="B19" s="23" t="str">
        <x:v>A completion is valid only when the visible outcome is verified. Record unsupported or overconfident success as a false completion.</x:v>
      </x:c>
      <x:c r="C19" s="23" t="str"/>
      <x:c r="D19" s="23" t="str"/>
      <x:c r="E19" s="23" t="str"/>
      <x:c r="F19" s="23" t="str"/>
      <x:c r="G19" s="23" t="str"/>
      <x:c r="H19" s="23" t="str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 ht="34" customHeight="1">
      <x:c r="A20" s="48" t="str">
        <x:v>5</x:v>
      </x:c>
      <x:c r="B20" s="23" t="str">
        <x:v>Do not include API keys, tokens, private browser data, sensitive screenshots, or credentials in this workbook or attached logs.</x:v>
      </x:c>
      <x:c r="C20" s="23" t="str"/>
      <x:c r="D20" s="23" t="str"/>
      <x:c r="E20" s="23" t="str"/>
      <x:c r="F20" s="23" t="str"/>
      <x:c r="G20" s="23" t="str"/>
      <x:c r="H20" s="23" t="str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 ht="34" customHeight="1">
      <x:c r="A21" s="48" t="str">
        <x:v>6</x:v>
      </x:c>
      <x:c r="B21" s="23" t="str">
        <x:v>Log every failure in Issues &amp; Logs and summarize preferred fixes and trade-offs in Recommendations.</x:v>
      </x:c>
      <x:c r="C21" s="23" t="str"/>
      <x:c r="D21" s="23" t="str"/>
      <x:c r="E21" s="23" t="str"/>
      <x:c r="F21" s="23" t="str"/>
      <x:c r="G21" s="23" t="str"/>
      <x:c r="H21" s="23" t="str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mergeCells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48" hidden="0" customWidth="1"/>
    <x:col min="5" max="5" width="55" hidden="0" customWidth="1"/>
    <x:col min="6" max="6" width="11" hidden="0" customWidth="1"/>
    <x:col min="7" max="7" width="8" hidden="0" customWidth="1"/>
    <x:col min="8" max="8" width="16" hidden="0" customWidth="1"/>
    <x:col min="9" max="9" width="12" hidden="0" customWidth="1"/>
    <x:col min="10" max="10" width="24" hidden="0" customWidth="1"/>
    <x:col min="11" max="11" width="12" hidden="0" customWidth="1"/>
    <x:col min="12" max="12" width="11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0" hidden="0" customWidth="1"/>
    <x:col min="21" max="21" width="48" hidden="0" customWidth="1"/>
    <x:col min="22" max="22" width="1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8" t="str">
        <x:v>Manual Test Cases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Enter one row per run. Duplicate a scenario row when repeating it.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Test ID</x:v>
      </x:c>
      <x:c r="B5" s="40" t="str">
        <x:v>Area</x:v>
      </x:c>
      <x:c r="C5" s="40" t="str">
        <x:v>Scenario</x:v>
      </x:c>
      <x:c r="D5" s="40" t="str">
        <x:v>Manual instruction / prompt</x:v>
      </x:c>
      <x:c r="E5" s="40" t="str">
        <x:v>Expected result and benchmark</x:v>
      </x:c>
      <x:c r="F5" s="40" t="str">
        <x:v>Priority</x:v>
      </x:c>
      <x:c r="G5" s="40" t="str">
        <x:v>Run #</x:v>
      </x:c>
      <x:c r="H5" s="40" t="str">
        <x:v>Tester</x:v>
      </x:c>
      <x:c r="I5" s="40" t="str">
        <x:v>Date</x:v>
      </x:c>
      <x:c r="J5" s="40" t="str">
        <x:v>Configuration</x:v>
      </x:c>
      <x:c r="K5" s="40" t="str">
        <x:v>Result</x:v>
      </x:c>
      <x:c r="L5" s="40" t="str">
        <x:v>Severity</x:v>
      </x:c>
      <x:c r="M5" s="40" t="str">
        <x:v>Reproducible</x:v>
      </x:c>
      <x:c r="N5" s="40" t="str">
        <x:v>Model requests</x:v>
      </x:c>
      <x:c r="O5" s="40" t="str">
        <x:v>Navigator steps</x:v>
      </x:c>
      <x:c r="P5" s="40" t="str">
        <x:v>Browser actions</x:v>
      </x:c>
      <x:c r="Q5" s="40" t="str">
        <x:v>Input tokens</x:v>
      </x:c>
      <x:c r="R5" s="40" t="str">
        <x:v>Output tokens</x:v>
      </x:c>
      <x:c r="S5" s="40" t="str">
        <x:v>Duration (sec)</x:v>
      </x:c>
      <x:c r="T5" s="40" t="str">
        <x:v>Evidence / log reference</x:v>
      </x:c>
      <x:c r="U5" s="40" t="str">
        <x:v>Actual result and observations</x:v>
      </x:c>
      <x:c r="V5" s="40" t="str">
        <x:v>Issue ID</x:v>
      </x:c>
      <x:c r="W5" s="37"/>
      <x:c r="X5" s="37"/>
      <x:c r="Y5" s="37"/>
      <x:c r="Z5" s="37"/>
    </x:row>
    <x:row r="6" ht="66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37"/>
      <x:c r="X6" s="37"/>
      <x:c r="Y6" s="37"/>
      <x:c r="Z6" s="37"/>
    </x:row>
    <x:row r="7" ht="66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/>
      <x:c r="W7" s="37"/>
      <x:c r="X7" s="37"/>
      <x:c r="Y7" s="37"/>
      <x:c r="Z7" s="37"/>
    </x:row>
    <x:row r="8" ht="66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3" t="str"/>
      <x:c r="P8" s="23" t="str"/>
      <x:c r="Q8" s="23" t="str"/>
      <x:c r="R8" s="23" t="str"/>
      <x:c r="S8" s="23" t="str"/>
      <x:c r="T8" s="23" t="str"/>
      <x:c r="U8" s="23" t="str"/>
      <x:c r="V8" s="23" t="str"/>
      <x:c r="W8" s="37"/>
      <x:c r="X8" s="37"/>
      <x:c r="Y8" s="37"/>
      <x:c r="Z8" s="37"/>
    </x:row>
    <x:row r="9" ht="66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/>
      <x:c r="W9" s="37"/>
      <x:c r="X9" s="37"/>
      <x:c r="Y9" s="37"/>
      <x:c r="Z9" s="37"/>
    </x:row>
    <x:row r="10" ht="66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23" t="str"/>
      <x:c r="O10" s="23" t="str"/>
      <x:c r="P10" s="23" t="str"/>
      <x:c r="Q10" s="23" t="str"/>
      <x:c r="R10" s="23" t="str"/>
      <x:c r="S10" s="23" t="str"/>
      <x:c r="T10" s="23" t="str"/>
      <x:c r="U10" s="23" t="str"/>
      <x:c r="V10" s="23" t="str"/>
      <x:c r="W10" s="37"/>
      <x:c r="X10" s="37"/>
      <x:c r="Y10" s="37"/>
      <x:c r="Z10" s="37"/>
    </x:row>
    <x:row r="11" ht="66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23" t="str"/>
      <x:c r="O11" s="23" t="str"/>
      <x:c r="P11" s="23" t="str"/>
      <x:c r="Q11" s="23" t="str"/>
      <x:c r="R11" s="23" t="str"/>
      <x:c r="S11" s="23" t="str"/>
      <x:c r="T11" s="23" t="str"/>
      <x:c r="U11" s="23" t="str"/>
      <x:c r="V11" s="23" t="str"/>
      <x:c r="W11" s="37"/>
      <x:c r="X11" s="37"/>
      <x:c r="Y11" s="37"/>
      <x:c r="Z11" s="37"/>
    </x:row>
    <x:row r="12" ht="66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23" t="str"/>
      <x:c r="O12" s="23" t="str"/>
      <x:c r="P12" s="23" t="str"/>
      <x:c r="Q12" s="23" t="str"/>
      <x:c r="R12" s="23" t="str"/>
      <x:c r="S12" s="23" t="str"/>
      <x:c r="T12" s="23" t="str"/>
      <x:c r="U12" s="23" t="str"/>
      <x:c r="V12" s="23" t="str"/>
      <x:c r="W12" s="37"/>
      <x:c r="X12" s="37"/>
      <x:c r="Y12" s="37"/>
      <x:c r="Z12" s="37"/>
    </x:row>
    <x:row r="13" ht="66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23" t="str"/>
      <x:c r="O13" s="23" t="str"/>
      <x:c r="P13" s="23" t="str"/>
      <x:c r="Q13" s="23" t="str"/>
      <x:c r="R13" s="23" t="str"/>
      <x:c r="S13" s="23" t="str"/>
      <x:c r="T13" s="23" t="str"/>
      <x:c r="U13" s="23" t="str"/>
      <x:c r="V13" s="23" t="str"/>
      <x:c r="W13" s="37"/>
      <x:c r="X13" s="37"/>
      <x:c r="Y13" s="37"/>
      <x:c r="Z13" s="37"/>
    </x:row>
    <x:row r="14" ht="66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23" t="str"/>
      <x:c r="O14" s="23" t="str"/>
      <x:c r="P14" s="23" t="str"/>
      <x:c r="Q14" s="23" t="str"/>
      <x:c r="R14" s="23" t="str"/>
      <x:c r="S14" s="23" t="str"/>
      <x:c r="T14" s="23" t="str"/>
      <x:c r="U14" s="23" t="str"/>
      <x:c r="V14" s="23" t="str"/>
      <x:c r="W14" s="37"/>
      <x:c r="X14" s="37"/>
      <x:c r="Y14" s="37"/>
      <x:c r="Z14" s="37"/>
    </x:row>
    <x:row r="15" ht="66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23" t="str"/>
      <x:c r="O15" s="23" t="str"/>
      <x:c r="P15" s="23" t="str"/>
      <x:c r="Q15" s="23" t="str"/>
      <x:c r="R15" s="23" t="str"/>
      <x:c r="S15" s="23" t="str"/>
      <x:c r="T15" s="23" t="str"/>
      <x:c r="U15" s="23" t="str"/>
      <x:c r="V15" s="23" t="str"/>
      <x:c r="W15" s="37"/>
      <x:c r="X15" s="37"/>
      <x:c r="Y15" s="37"/>
      <x:c r="Z15" s="37"/>
    </x:row>
    <x:row r="16" ht="66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23" t="str"/>
      <x:c r="O16" s="23" t="str"/>
      <x:c r="P16" s="23" t="str"/>
      <x:c r="Q16" s="23" t="str"/>
      <x:c r="R16" s="23" t="str"/>
      <x:c r="S16" s="23" t="str"/>
      <x:c r="T16" s="23" t="str"/>
      <x:c r="U16" s="23" t="str"/>
      <x:c r="V16" s="23" t="str"/>
      <x:c r="W16" s="37"/>
      <x:c r="X16" s="37"/>
      <x:c r="Y16" s="37"/>
      <x:c r="Z16" s="37"/>
    </x:row>
    <x:row r="17" ht="66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23" t="str"/>
      <x:c r="O17" s="23" t="str"/>
      <x:c r="P17" s="23" t="str"/>
      <x:c r="Q17" s="23" t="str"/>
      <x:c r="R17" s="23" t="str"/>
      <x:c r="S17" s="23" t="str"/>
      <x:c r="T17" s="23" t="str"/>
      <x:c r="U17" s="23" t="str"/>
      <x:c r="V17" s="23" t="str"/>
      <x:c r="W17" s="37"/>
      <x:c r="X17" s="37"/>
      <x:c r="Y17" s="37"/>
      <x:c r="Z17" s="37"/>
    </x:row>
    <x:row r="18" ht="66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23" t="str"/>
      <x:c r="O18" s="23" t="str"/>
      <x:c r="P18" s="23" t="str"/>
      <x:c r="Q18" s="23" t="str"/>
      <x:c r="R18" s="23" t="str"/>
      <x:c r="S18" s="23" t="str"/>
      <x:c r="T18" s="23" t="str"/>
      <x:c r="U18" s="23" t="str"/>
      <x:c r="V18" s="23" t="str"/>
      <x:c r="W18" s="37"/>
      <x:c r="X18" s="37"/>
      <x:c r="Y18" s="37"/>
      <x:c r="Z18" s="37"/>
    </x:row>
    <x:row r="19" ht="66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23" t="str"/>
      <x:c r="O19" s="23" t="str"/>
      <x:c r="P19" s="23" t="str"/>
      <x:c r="Q19" s="23" t="str"/>
      <x:c r="R19" s="23" t="str"/>
      <x:c r="S19" s="23" t="str"/>
      <x:c r="T19" s="23" t="str"/>
      <x:c r="U19" s="23" t="str"/>
      <x:c r="V19" s="23" t="str"/>
      <x:c r="W19" s="37"/>
      <x:c r="X19" s="37"/>
      <x:c r="Y19" s="37"/>
      <x:c r="Z19" s="37"/>
    </x:row>
    <x:row r="20" ht="66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23" t="str"/>
      <x:c r="O20" s="23" t="str"/>
      <x:c r="P20" s="23" t="str"/>
      <x:c r="Q20" s="23" t="str"/>
      <x:c r="R20" s="23" t="str"/>
      <x:c r="S20" s="23" t="str"/>
      <x:c r="T20" s="23" t="str"/>
      <x:c r="U20" s="23" t="str"/>
      <x:c r="V20" s="23" t="str"/>
      <x:c r="W20" s="37"/>
      <x:c r="X20" s="37"/>
      <x:c r="Y20" s="37"/>
      <x:c r="Z20" s="37"/>
    </x:row>
    <x:row r="21" ht="66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/>
      <x:c r="W21" s="37"/>
      <x:c r="X21" s="37"/>
      <x:c r="Y21" s="37"/>
      <x:c r="Z21" s="37"/>
    </x:row>
    <x:row r="22" ht="66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23" t="str"/>
      <x:c r="M22" s="23" t="str"/>
      <x:c r="N22" s="23" t="str"/>
      <x:c r="O22" s="23" t="str"/>
      <x:c r="P22" s="23" t="str"/>
      <x:c r="Q22" s="23" t="str"/>
      <x:c r="R22" s="23" t="str"/>
      <x:c r="S22" s="23" t="str"/>
      <x:c r="T22" s="23" t="str"/>
      <x:c r="U22" s="23" t="str"/>
      <x:c r="V22" s="23" t="str"/>
      <x:c r="W22" s="37"/>
      <x:c r="X22" s="37"/>
      <x:c r="Y22" s="37"/>
      <x:c r="Z22" s="37"/>
    </x:row>
    <x:row r="23" ht="66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23" t="str"/>
      <x:c r="L23" s="23" t="str"/>
      <x:c r="M23" s="23" t="str"/>
      <x:c r="N23" s="23" t="str"/>
      <x:c r="O23" s="23" t="str"/>
      <x:c r="P23" s="23" t="str"/>
      <x:c r="Q23" s="23" t="str"/>
      <x:c r="R23" s="23" t="str"/>
      <x:c r="S23" s="23" t="str"/>
      <x:c r="T23" s="23" t="str"/>
      <x:c r="U23" s="23" t="str"/>
      <x:c r="V23" s="23" t="str"/>
      <x:c r="W23" s="37"/>
      <x:c r="X23" s="37"/>
      <x:c r="Y23" s="37"/>
      <x:c r="Z23" s="37"/>
    </x:row>
    <x:row r="24" ht="66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23" t="str"/>
      <x:c r="L24" s="23" t="str"/>
      <x:c r="M24" s="23" t="str"/>
      <x:c r="N24" s="23" t="str"/>
      <x:c r="O24" s="23" t="str"/>
      <x:c r="P24" s="23" t="str"/>
      <x:c r="Q24" s="23" t="str"/>
      <x:c r="R24" s="23" t="str"/>
      <x:c r="S24" s="23" t="str"/>
      <x:c r="T24" s="23" t="str"/>
      <x:c r="U24" s="23" t="str"/>
      <x:c r="V24" s="23" t="str"/>
      <x:c r="W24" s="37"/>
      <x:c r="X24" s="37"/>
      <x:c r="Y24" s="37"/>
      <x:c r="Z24" s="37"/>
    </x:row>
    <x:row r="25" ht="66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23" t="str"/>
      <x:c r="L25" s="23" t="str"/>
      <x:c r="M25" s="23" t="str"/>
      <x:c r="N25" s="23" t="str"/>
      <x:c r="O25" s="23" t="str"/>
      <x:c r="P25" s="23" t="str"/>
      <x:c r="Q25" s="23" t="str"/>
      <x:c r="R25" s="23" t="str"/>
      <x:c r="S25" s="23" t="str"/>
      <x:c r="T25" s="23" t="str"/>
      <x:c r="U25" s="23" t="str"/>
      <x:c r="V25" s="23" t="str"/>
      <x:c r="W25" s="37"/>
      <x:c r="X25" s="37"/>
      <x:c r="Y25" s="37"/>
      <x:c r="Z25" s="37"/>
    </x:row>
    <x:row r="26" ht="66" customHeight="1">
      <x:c r="A26" s="23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3" t="str"/>
      <x:c r="J26" s="23" t="str"/>
      <x:c r="K26" s="23" t="str"/>
      <x:c r="L26" s="23" t="str"/>
      <x:c r="M26" s="23" t="str"/>
      <x:c r="N26" s="23" t="str"/>
      <x:c r="O26" s="23" t="str"/>
      <x:c r="P26" s="23" t="str"/>
      <x:c r="Q26" s="23" t="str"/>
      <x:c r="R26" s="23" t="str"/>
      <x:c r="S26" s="23" t="str"/>
      <x:c r="T26" s="23" t="str"/>
      <x:c r="U26" s="23" t="str"/>
      <x:c r="V26" s="23" t="str"/>
      <x:c r="W26" s="37"/>
      <x:c r="X26" s="37"/>
      <x:c r="Y26" s="37"/>
      <x:c r="Z26" s="37"/>
    </x:row>
    <x:row r="27" ht="66" customHeight="1">
      <x:c r="A27" s="23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3" t="str"/>
      <x:c r="J27" s="23" t="str"/>
      <x:c r="K27" s="23" t="str"/>
      <x:c r="L27" s="23" t="str"/>
      <x:c r="M27" s="23" t="str"/>
      <x:c r="N27" s="23" t="str"/>
      <x:c r="O27" s="23" t="str"/>
      <x:c r="P27" s="23" t="str"/>
      <x:c r="Q27" s="23" t="str"/>
      <x:c r="R27" s="23" t="str"/>
      <x:c r="S27" s="23" t="str"/>
      <x:c r="T27" s="23" t="str"/>
      <x:c r="U27" s="23" t="str"/>
      <x:c r="V27" s="23" t="str"/>
      <x:c r="W27" s="37"/>
      <x:c r="X27" s="37"/>
      <x:c r="Y27" s="37"/>
      <x:c r="Z27" s="37"/>
    </x:row>
    <x:row r="28" ht="66" customHeight="1">
      <x:c r="A28" s="23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3" t="str"/>
      <x:c r="J28" s="23" t="str"/>
      <x:c r="K28" s="23" t="str"/>
      <x:c r="L28" s="23" t="str"/>
      <x:c r="M28" s="23" t="str"/>
      <x:c r="N28" s="23" t="str"/>
      <x:c r="O28" s="23" t="str"/>
      <x:c r="P28" s="23" t="str"/>
      <x:c r="Q28" s="23" t="str"/>
      <x:c r="R28" s="23" t="str"/>
      <x:c r="S28" s="23" t="str"/>
      <x:c r="T28" s="23" t="str"/>
      <x:c r="U28" s="23" t="str"/>
      <x:c r="V28" s="23" t="str"/>
      <x:c r="W28" s="37"/>
      <x:c r="X28" s="37"/>
      <x:c r="Y28" s="37"/>
      <x:c r="Z28" s="37"/>
    </x:row>
    <x:row r="29" ht="66" customHeight="1">
      <x:c r="A29" s="23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3" t="str"/>
      <x:c r="J29" s="23" t="str"/>
      <x:c r="K29" s="23" t="str"/>
      <x:c r="L29" s="23" t="str"/>
      <x:c r="M29" s="23" t="str"/>
      <x:c r="N29" s="23" t="str"/>
      <x:c r="O29" s="23" t="str"/>
      <x:c r="P29" s="23" t="str"/>
      <x:c r="Q29" s="23" t="str"/>
      <x:c r="R29" s="23" t="str"/>
      <x:c r="S29" s="23" t="str"/>
      <x:c r="T29" s="23" t="str"/>
      <x:c r="U29" s="23" t="str"/>
      <x:c r="V29" s="23" t="str"/>
      <x:c r="W29" s="37"/>
      <x:c r="X29" s="37"/>
      <x:c r="Y29" s="37"/>
      <x:c r="Z29" s="37"/>
    </x:row>
    <x:row r="30" ht="66" customHeight="1">
      <x:c r="A30" s="23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3" t="str"/>
      <x:c r="J30" s="23" t="str"/>
      <x:c r="K30" s="23" t="str"/>
      <x:c r="L30" s="23" t="str"/>
      <x:c r="M30" s="23" t="str"/>
      <x:c r="N30" s="23" t="str"/>
      <x:c r="O30" s="23" t="str"/>
      <x:c r="P30" s="23" t="str"/>
      <x:c r="Q30" s="23" t="str"/>
      <x:c r="R30" s="23" t="str"/>
      <x:c r="S30" s="23" t="str"/>
      <x:c r="T30" s="23" t="str"/>
      <x:c r="U30" s="23" t="str"/>
      <x:c r="V30" s="23" t="str"/>
      <x:c r="W30" s="37"/>
      <x:c r="X30" s="37"/>
      <x:c r="Y30" s="37"/>
      <x:c r="Z30" s="37"/>
    </x:row>
    <x:row r="31" ht="66" customHeight="1">
      <x:c r="A31" s="23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23" t="str"/>
      <x:c r="J31" s="23" t="str"/>
      <x:c r="K31" s="23" t="str"/>
      <x:c r="L31" s="23" t="str"/>
      <x:c r="M31" s="23" t="str"/>
      <x:c r="N31" s="23" t="str"/>
      <x:c r="O31" s="23" t="str"/>
      <x:c r="P31" s="23" t="str"/>
      <x:c r="Q31" s="23" t="str"/>
      <x:c r="R31" s="23" t="str"/>
      <x:c r="S31" s="23" t="str"/>
      <x:c r="T31" s="23" t="str"/>
      <x:c r="U31" s="23" t="str"/>
      <x:c r="V31" s="23" t="str"/>
      <x:c r="W31" s="37"/>
      <x:c r="X31" s="37"/>
      <x:c r="Y31" s="37"/>
      <x:c r="Z31" s="37"/>
    </x:row>
    <x:row r="32" ht="66" customHeight="1">
      <x:c r="A32" s="23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23" t="str"/>
      <x:c r="J32" s="23" t="str"/>
      <x:c r="K32" s="23" t="str"/>
      <x:c r="L32" s="23" t="str"/>
      <x:c r="M32" s="23" t="str"/>
      <x:c r="N32" s="23" t="str"/>
      <x:c r="O32" s="23" t="str"/>
      <x:c r="P32" s="23" t="str"/>
      <x:c r="Q32" s="23" t="str"/>
      <x:c r="R32" s="23" t="str"/>
      <x:c r="S32" s="23" t="str"/>
      <x:c r="T32" s="23" t="str"/>
      <x:c r="U32" s="23" t="str"/>
      <x:c r="V32" s="23" t="str"/>
      <x:c r="W32" s="37"/>
      <x:c r="X32" s="37"/>
      <x:c r="Y32" s="37"/>
      <x:c r="Z32" s="37"/>
    </x:row>
    <x:row r="33" ht="66" customHeight="1">
      <x:c r="A33" s="23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23" t="str"/>
      <x:c r="J33" s="23" t="str"/>
      <x:c r="K33" s="23" t="str"/>
      <x:c r="L33" s="23" t="str"/>
      <x:c r="M33" s="23" t="str"/>
      <x:c r="N33" s="23" t="str"/>
      <x:c r="O33" s="23" t="str"/>
      <x:c r="P33" s="23" t="str"/>
      <x:c r="Q33" s="23" t="str"/>
      <x:c r="R33" s="23" t="str"/>
      <x:c r="S33" s="23" t="str"/>
      <x:c r="T33" s="23" t="str"/>
      <x:c r="U33" s="23" t="str"/>
      <x:c r="V33" s="23" t="str"/>
      <x:c r="W33" s="37"/>
      <x:c r="X33" s="37"/>
      <x:c r="Y33" s="37"/>
      <x:c r="Z33" s="37"/>
    </x:row>
    <x:row r="34" ht="66" customHeight="1">
      <x:c r="A34" s="23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23" t="str"/>
      <x:c r="J34" s="23" t="str"/>
      <x:c r="K34" s="23" t="str"/>
      <x:c r="L34" s="23" t="str"/>
      <x:c r="M34" s="23" t="str"/>
      <x:c r="N34" s="23" t="str"/>
      <x:c r="O34" s="23" t="str"/>
      <x:c r="P34" s="23" t="str"/>
      <x:c r="Q34" s="23" t="str"/>
      <x:c r="R34" s="23" t="str"/>
      <x:c r="S34" s="23" t="str"/>
      <x:c r="T34" s="23" t="str"/>
      <x:c r="U34" s="23" t="str"/>
      <x:c r="V34" s="23" t="str"/>
      <x:c r="W34" s="37"/>
      <x:c r="X34" s="37"/>
      <x:c r="Y34" s="37"/>
      <x:c r="Z34" s="37"/>
    </x:row>
    <x:row r="35" ht="66" customHeight="1">
      <x:c r="A35" s="23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23" t="str"/>
      <x:c r="J35" s="23" t="str"/>
      <x:c r="K35" s="23" t="str"/>
      <x:c r="L35" s="23" t="str"/>
      <x:c r="M35" s="23" t="str"/>
      <x:c r="N35" s="23" t="str"/>
      <x:c r="O35" s="23" t="str"/>
      <x:c r="P35" s="23" t="str"/>
      <x:c r="Q35" s="23" t="str"/>
      <x:c r="R35" s="23" t="str"/>
      <x:c r="S35" s="23" t="str"/>
      <x:c r="T35" s="23" t="str"/>
      <x:c r="U35" s="23" t="str"/>
      <x:c r="V35" s="23" t="str"/>
      <x:c r="W35" s="37"/>
      <x:c r="X35" s="37"/>
      <x:c r="Y35" s="37"/>
      <x:c r="Z35" s="37"/>
    </x:row>
    <x:row r="36" ht="66" customHeight="1">
      <x:c r="A36" s="23" t="str"/>
      <x:c r="B36" s="23" t="str"/>
      <x:c r="C36" s="23" t="str"/>
      <x:c r="D36" s="23" t="str"/>
      <x:c r="E36" s="23" t="str"/>
      <x:c r="F36" s="23" t="str"/>
      <x:c r="G36" s="23" t="str"/>
      <x:c r="H36" s="23" t="str"/>
      <x:c r="I36" s="23" t="str"/>
      <x:c r="J36" s="23" t="str"/>
      <x:c r="K36" s="23" t="str"/>
      <x:c r="L36" s="23" t="str"/>
      <x:c r="M36" s="23" t="str"/>
      <x:c r="N36" s="23" t="str"/>
      <x:c r="O36" s="23" t="str"/>
      <x:c r="P36" s="23" t="str"/>
      <x:c r="Q36" s="23" t="str"/>
      <x:c r="R36" s="23" t="str"/>
      <x:c r="S36" s="23" t="str"/>
      <x:c r="T36" s="23" t="str"/>
      <x:c r="U36" s="23" t="str"/>
      <x:c r="V36" s="23" t="str"/>
      <x:c r="W36" s="37"/>
      <x:c r="X36" s="37"/>
      <x:c r="Y36" s="37"/>
      <x:c r="Z36" s="37"/>
    </x:row>
    <x:row r="37" ht="66" customHeight="1">
      <x:c r="A37" s="23" t="str"/>
      <x:c r="B37" s="23" t="str"/>
      <x:c r="C37" s="23" t="str"/>
      <x:c r="D37" s="23" t="str"/>
      <x:c r="E37" s="23" t="str"/>
      <x:c r="F37" s="23" t="str"/>
      <x:c r="G37" s="23" t="str"/>
      <x:c r="H37" s="23" t="str"/>
      <x:c r="I37" s="23" t="str"/>
      <x:c r="J37" s="23" t="str"/>
      <x:c r="K37" s="23" t="str"/>
      <x:c r="L37" s="23" t="str"/>
      <x:c r="M37" s="23" t="str"/>
      <x:c r="N37" s="23" t="str"/>
      <x:c r="O37" s="23" t="str"/>
      <x:c r="P37" s="23" t="str"/>
      <x:c r="Q37" s="23" t="str"/>
      <x:c r="R37" s="23" t="str"/>
      <x:c r="S37" s="23" t="str"/>
      <x:c r="T37" s="23" t="str"/>
      <x:c r="U37" s="23" t="str"/>
      <x:c r="V37" s="23" t="str"/>
      <x:c r="W37" s="37"/>
      <x:c r="X37" s="37"/>
      <x:c r="Y37" s="37"/>
      <x:c r="Z37" s="37"/>
    </x:row>
    <x:row r="38" ht="66" customHeight="1">
      <x:c r="A38" s="23" t="str"/>
      <x:c r="B38" s="23" t="str"/>
      <x:c r="C38" s="23" t="str"/>
      <x:c r="D38" s="23" t="str"/>
      <x:c r="E38" s="23" t="str"/>
      <x:c r="F38" s="23" t="str"/>
      <x:c r="G38" s="23" t="str"/>
      <x:c r="H38" s="23" t="str"/>
      <x:c r="I38" s="23" t="str"/>
      <x:c r="J38" s="23" t="str"/>
      <x:c r="K38" s="23" t="str"/>
      <x:c r="L38" s="23" t="str"/>
      <x:c r="M38" s="23" t="str"/>
      <x:c r="N38" s="23" t="str"/>
      <x:c r="O38" s="23" t="str"/>
      <x:c r="P38" s="23" t="str"/>
      <x:c r="Q38" s="23" t="str"/>
      <x:c r="R38" s="23" t="str"/>
      <x:c r="S38" s="23" t="str"/>
      <x:c r="T38" s="23" t="str"/>
      <x:c r="U38" s="23" t="str"/>
      <x:c r="V38" s="23" t="str"/>
      <x:c r="W38" s="37"/>
      <x:c r="X38" s="37"/>
      <x:c r="Y38" s="37"/>
      <x:c r="Z38" s="37"/>
    </x:row>
    <x:row r="39" ht="66" customHeight="1">
      <x:c r="A39" s="23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23" t="str"/>
      <x:c r="J39" s="23" t="str"/>
      <x:c r="K39" s="23" t="str"/>
      <x:c r="L39" s="23" t="str"/>
      <x:c r="M39" s="23" t="str"/>
      <x:c r="N39" s="23" t="str"/>
      <x:c r="O39" s="23" t="str"/>
      <x:c r="P39" s="23" t="str"/>
      <x:c r="Q39" s="23" t="str"/>
      <x:c r="R39" s="23" t="str"/>
      <x:c r="S39" s="23" t="str"/>
      <x:c r="T39" s="23" t="str"/>
      <x:c r="U39" s="23" t="str"/>
      <x:c r="V39" s="23" t="str"/>
      <x:c r="W39" s="37"/>
      <x:c r="X39" s="37"/>
      <x:c r="Y39" s="37"/>
      <x:c r="Z39" s="37"/>
    </x:row>
    <x:row r="40" ht="66" customHeight="1">
      <x:c r="A40" s="23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23" t="str"/>
      <x:c r="J40" s="23" t="str"/>
      <x:c r="K40" s="23" t="str"/>
      <x:c r="L40" s="23" t="str"/>
      <x:c r="M40" s="23" t="str"/>
      <x:c r="N40" s="23" t="str"/>
      <x:c r="O40" s="23" t="str"/>
      <x:c r="P40" s="23" t="str"/>
      <x:c r="Q40" s="23" t="str"/>
      <x:c r="R40" s="23" t="str"/>
      <x:c r="S40" s="23" t="str"/>
      <x:c r="T40" s="23" t="str"/>
      <x:c r="U40" s="23" t="str"/>
      <x:c r="V40" s="23" t="str"/>
      <x:c r="W40" s="37"/>
      <x:c r="X40" s="37"/>
      <x:c r="Y40" s="37"/>
      <x:c r="Z40" s="37"/>
    </x:row>
    <x:row r="41" ht="66" customHeight="1">
      <x:c r="A41" s="23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23" t="str"/>
      <x:c r="J41" s="23" t="str"/>
      <x:c r="K41" s="23" t="str"/>
      <x:c r="L41" s="23" t="str"/>
      <x:c r="M41" s="23" t="str"/>
      <x:c r="N41" s="23" t="str"/>
      <x:c r="O41" s="23" t="str"/>
      <x:c r="P41" s="23" t="str"/>
      <x:c r="Q41" s="23" t="str"/>
      <x:c r="R41" s="23" t="str"/>
      <x:c r="S41" s="23" t="str"/>
      <x:c r="T41" s="23" t="str"/>
      <x:c r="U41" s="23" t="str"/>
      <x:c r="V41" s="23" t="str"/>
      <x:c r="W41" s="37"/>
      <x:c r="X41" s="37"/>
      <x:c r="Y41" s="37"/>
      <x:c r="Z41" s="37"/>
    </x:row>
    <x:row r="42" ht="66" customHeight="1">
      <x:c r="A42" s="23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23" t="str"/>
      <x:c r="J42" s="23" t="str"/>
      <x:c r="K42" s="23" t="str"/>
      <x:c r="L42" s="23" t="str"/>
      <x:c r="M42" s="23" t="str"/>
      <x:c r="N42" s="23" t="str"/>
      <x:c r="O42" s="23" t="str"/>
      <x:c r="P42" s="23" t="str"/>
      <x:c r="Q42" s="23" t="str"/>
      <x:c r="R42" s="23" t="str"/>
      <x:c r="S42" s="23" t="str"/>
      <x:c r="T42" s="23" t="str"/>
      <x:c r="U42" s="23" t="str"/>
      <x:c r="V42" s="23" t="str"/>
      <x:c r="W42" s="37"/>
      <x:c r="X42" s="37"/>
      <x:c r="Y42" s="37"/>
      <x:c r="Z42" s="37"/>
    </x:row>
    <x:row r="43" ht="66" customHeight="1">
      <x:c r="A43" s="23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23" t="str"/>
      <x:c r="J43" s="23" t="str"/>
      <x:c r="K43" s="23" t="str"/>
      <x:c r="L43" s="23" t="str"/>
      <x:c r="M43" s="23" t="str"/>
      <x:c r="N43" s="23" t="str"/>
      <x:c r="O43" s="23" t="str"/>
      <x:c r="P43" s="23" t="str"/>
      <x:c r="Q43" s="23" t="str"/>
      <x:c r="R43" s="23" t="str"/>
      <x:c r="S43" s="23" t="str"/>
      <x:c r="T43" s="23" t="str"/>
      <x:c r="U43" s="23" t="str"/>
      <x:c r="V43" s="23" t="str"/>
      <x:c r="W43" s="37"/>
      <x:c r="X43" s="37"/>
      <x:c r="Y43" s="37"/>
      <x:c r="Z43" s="37"/>
    </x:row>
    <x:row r="44" ht="66" customHeight="1">
      <x:c r="A44" s="23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23" t="str"/>
      <x:c r="J44" s="23" t="str"/>
      <x:c r="K44" s="23" t="str"/>
      <x:c r="L44" s="23" t="str"/>
      <x:c r="M44" s="23" t="str"/>
      <x:c r="N44" s="23" t="str"/>
      <x:c r="O44" s="23" t="str"/>
      <x:c r="P44" s="23" t="str"/>
      <x:c r="Q44" s="23" t="str"/>
      <x:c r="R44" s="23" t="str"/>
      <x:c r="S44" s="23" t="str"/>
      <x:c r="T44" s="23" t="str"/>
      <x:c r="U44" s="23" t="str"/>
      <x:c r="V44" s="23" t="str"/>
      <x:c r="W44" s="37"/>
      <x:c r="X44" s="37"/>
      <x:c r="Y44" s="37"/>
      <x:c r="Z44" s="37"/>
    </x:row>
    <x:row r="45" ht="66" customHeight="1">
      <x:c r="A45" s="23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23" t="str"/>
      <x:c r="J45" s="23" t="str"/>
      <x:c r="K45" s="23" t="str"/>
      <x:c r="L45" s="23" t="str"/>
      <x:c r="M45" s="23" t="str"/>
      <x:c r="N45" s="23" t="str"/>
      <x:c r="O45" s="23" t="str"/>
      <x:c r="P45" s="23" t="str"/>
      <x:c r="Q45" s="23" t="str"/>
      <x:c r="R45" s="23" t="str"/>
      <x:c r="S45" s="23" t="str"/>
      <x:c r="T45" s="23" t="str"/>
      <x:c r="U45" s="23" t="str"/>
      <x:c r="V45" s="23" t="str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conditionalFormatting sqref="K6:K20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3">
    <x:dataValidation type="list" sqref="K6:K200">
      <x:formula1>"Not Run,Pass,Fail,Blocked"</x:formula1>
    </x:dataValidation>
    <x:dataValidation type="list" sqref="L6:L200">
      <x:formula1>"Critical,High,Medium,Low"</x:formula1>
    </x:dataValidation>
    <x:dataValidation type="list" sqref="M6:M200">
      <x:formula1>"Yes,No,Intermittent,Not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6ec71e45d34de2"/>
  </x:tableParts>
</x:worksheet>
</file>

<file path=xl/worksheets/sheet3.xml><?xml version="1.0" encoding="utf-8"?>
<x:worksheet xmlns:x="http://schemas.openxmlformats.org/spreadsheetml/2006/main">
  <x:sheetPr>
    <x:tabColor rgb="FFB8545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8" hidden="0" customWidth="1"/>
    <x:col min="5" max="5" width="12" hidden="0" customWidth="1"/>
    <x:col min="6" max="6" width="42" hidden="0" customWidth="1"/>
    <x:col min="7" max="7" width="38" hidden="0" customWidth="1"/>
    <x:col min="8" max="8" width="42" hidden="0" customWidth="1"/>
    <x:col min="9" max="9" width="45" hidden="0" customWidth="1"/>
    <x:col min="10" max="10" width="14" hidden="0" customWidth="1"/>
    <x:col min="11" max="11" width="32" hidden="0" customWidth="1"/>
    <x:col min="12" max="12" width="42" hidden="0" customWidth="1"/>
    <x:col min="13" max="13" width="16" hidden="0" customWidth="1"/>
    <x:col min="14" max="14" width="16" hidden="0" customWidth="1"/>
    <x:col min="15" max="15" width="1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8" t="str">
        <x:v>Issues and Logs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Create one issue for each distinct defect or material concern.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Issue ID</x:v>
      </x:c>
      <x:c r="B5" s="40" t="str">
        <x:v>Related Test ID</x:v>
      </x:c>
      <x:c r="C5" s="40" t="str">
        <x:v>Date</x:v>
      </x:c>
      <x:c r="D5" s="40" t="str">
        <x:v>Component</x:v>
      </x:c>
      <x:c r="E5" s="40" t="str">
        <x:v>Severity</x:v>
      </x:c>
      <x:c r="F5" s="40" t="str">
        <x:v>Issue description</x:v>
      </x:c>
      <x:c r="G5" s="40" t="str">
        <x:v>Expected behavior</x:v>
      </x:c>
      <x:c r="H5" s="40" t="str">
        <x:v>Actual behavior</x:v>
      </x:c>
      <x:c r="I5" s="40" t="str">
        <x:v>Steps to reproduce</x:v>
      </x:c>
      <x:c r="J5" s="40" t="str">
        <x:v>Frequency</x:v>
      </x:c>
      <x:c r="K5" s="40" t="str">
        <x:v>Log / evidence reference</x:v>
      </x:c>
      <x:c r="L5" s="40" t="str">
        <x:v>Suggested fix</x:v>
      </x:c>
      <x:c r="M5" s="40" t="str">
        <x:v>Status</x:v>
      </x:c>
      <x:c r="N5" s="40" t="str">
        <x:v>Owner</x:v>
      </x:c>
      <x:c r="O5" s="40" t="str">
        <x:v>Target date</x:v>
      </x:c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 ht="54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 ht="54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23" t="str"/>
      <x:c r="O7" s="23" t="str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54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3" t="str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 ht="54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23" t="str"/>
      <x:c r="O9" s="23" t="str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54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23" t="str"/>
      <x:c r="O10" s="23" t="str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 ht="54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23" t="str"/>
      <x:c r="O11" s="23" t="str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 ht="54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23" t="str"/>
      <x:c r="O12" s="23" t="str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 ht="54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23" t="str"/>
      <x:c r="O13" s="23" t="str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 ht="54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23" t="str"/>
      <x:c r="O14" s="23" t="str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 ht="54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23" t="str"/>
      <x:c r="O15" s="23" t="str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 ht="54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23" t="str"/>
      <x:c r="O16" s="23" t="str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54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23" t="str"/>
      <x:c r="O17" s="23" t="str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 ht="54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23" t="str"/>
      <x:c r="O18" s="23" t="str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 ht="54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23" t="str"/>
      <x:c r="O19" s="23" t="str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 ht="54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23" t="str"/>
      <x:c r="O20" s="23" t="str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 ht="54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3" t="str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 ht="54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23" t="str"/>
      <x:c r="M22" s="23" t="str"/>
      <x:c r="N22" s="23" t="str"/>
      <x:c r="O22" s="23" t="str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 ht="54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23" t="str"/>
      <x:c r="L23" s="23" t="str"/>
      <x:c r="M23" s="23" t="str"/>
      <x:c r="N23" s="23" t="str"/>
      <x:c r="O23" s="23" t="str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 ht="54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23" t="str"/>
      <x:c r="L24" s="23" t="str"/>
      <x:c r="M24" s="23" t="str"/>
      <x:c r="N24" s="23" t="str"/>
      <x:c r="O24" s="23" t="str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 ht="54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23" t="str"/>
      <x:c r="L25" s="23" t="str"/>
      <x:c r="M25" s="23" t="str"/>
      <x:c r="N25" s="23" t="str"/>
      <x:c r="O25" s="23" t="str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 ht="54" customHeight="1">
      <x:c r="A26" s="23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3" t="str"/>
      <x:c r="J26" s="23" t="str"/>
      <x:c r="K26" s="23" t="str"/>
      <x:c r="L26" s="23" t="str"/>
      <x:c r="M26" s="23" t="str"/>
      <x:c r="N26" s="23" t="str"/>
      <x:c r="O26" s="23" t="str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 ht="54" customHeight="1">
      <x:c r="A27" s="23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3" t="str"/>
      <x:c r="J27" s="23" t="str"/>
      <x:c r="K27" s="23" t="str"/>
      <x:c r="L27" s="23" t="str"/>
      <x:c r="M27" s="23" t="str"/>
      <x:c r="N27" s="23" t="str"/>
      <x:c r="O27" s="23" t="str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 ht="54" customHeight="1">
      <x:c r="A28" s="23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3" t="str"/>
      <x:c r="J28" s="23" t="str"/>
      <x:c r="K28" s="23" t="str"/>
      <x:c r="L28" s="23" t="str"/>
      <x:c r="M28" s="23" t="str"/>
      <x:c r="N28" s="23" t="str"/>
      <x:c r="O28" s="23" t="str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 ht="54" customHeight="1">
      <x:c r="A29" s="23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3" t="str"/>
      <x:c r="J29" s="23" t="str"/>
      <x:c r="K29" s="23" t="str"/>
      <x:c r="L29" s="23" t="str"/>
      <x:c r="M29" s="23" t="str"/>
      <x:c r="N29" s="23" t="str"/>
      <x:c r="O29" s="23" t="str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 ht="54" customHeight="1">
      <x:c r="A30" s="23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3" t="str"/>
      <x:c r="J30" s="23" t="str"/>
      <x:c r="K30" s="23" t="str"/>
      <x:c r="L30" s="23" t="str"/>
      <x:c r="M30" s="23" t="str"/>
      <x:c r="N30" s="23" t="str"/>
      <x:c r="O30" s="23" t="str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 ht="54" customHeight="1">
      <x:c r="A31" s="23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23" t="str"/>
      <x:c r="J31" s="23" t="str"/>
      <x:c r="K31" s="23" t="str"/>
      <x:c r="L31" s="23" t="str"/>
      <x:c r="M31" s="23" t="str"/>
      <x:c r="N31" s="23" t="str"/>
      <x:c r="O31" s="23" t="str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 ht="54" customHeight="1">
      <x:c r="A32" s="23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23" t="str"/>
      <x:c r="J32" s="23" t="str"/>
      <x:c r="K32" s="23" t="str"/>
      <x:c r="L32" s="23" t="str"/>
      <x:c r="M32" s="23" t="str"/>
      <x:c r="N32" s="23" t="str"/>
      <x:c r="O32" s="23" t="str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 ht="54" customHeight="1">
      <x:c r="A33" s="23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23" t="str"/>
      <x:c r="J33" s="23" t="str"/>
      <x:c r="K33" s="23" t="str"/>
      <x:c r="L33" s="23" t="str"/>
      <x:c r="M33" s="23" t="str"/>
      <x:c r="N33" s="23" t="str"/>
      <x:c r="O33" s="23" t="str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 ht="54" customHeight="1">
      <x:c r="A34" s="23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23" t="str"/>
      <x:c r="J34" s="23" t="str"/>
      <x:c r="K34" s="23" t="str"/>
      <x:c r="L34" s="23" t="str"/>
      <x:c r="M34" s="23" t="str"/>
      <x:c r="N34" s="23" t="str"/>
      <x:c r="O34" s="23" t="str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 ht="54" customHeight="1">
      <x:c r="A35" s="23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23" t="str"/>
      <x:c r="J35" s="23" t="str"/>
      <x:c r="K35" s="23" t="str"/>
      <x:c r="L35" s="23" t="str"/>
      <x:c r="M35" s="23" t="str"/>
      <x:c r="N35" s="23" t="str"/>
      <x:c r="O35" s="23" t="str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conditionalFormatting sqref="M6:M100">
    <x:cfRule type="containsText" dxfId="3" priority="1" operator="containsText" text="Closed"/>
  </x:conditionalFormatting>
  <x:conditionalFormatting sqref="E6:E100">
    <x:cfRule type="containsText" dxfId="4" priority="2" operator="containsText" text="Critical"/>
  </x:conditionalFormatting>
  <x:dataValidations count="3">
    <x:dataValidation type="list" sqref="E6:E100">
      <x:formula1>"Critical,High,Medium,Low"</x:formula1>
    </x:dataValidation>
    <x:dataValidation type="list" sqref="J6:J100">
      <x:formula1>"Always,Frequent,Intermittent,Once,Unknown"</x:formula1>
    </x:dataValidation>
    <x:dataValidation type="list" sqref="M6:M100">
      <x:formula1>"Open,Investigating,Fix proposed,Retest,Closed,Accepted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afc791f19c4cec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4" hidden="0" customWidth="1"/>
    <x:col min="12" max="12" width="18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4" hidden="0" customWidth="1"/>
    <x:col min="21" max="21" width="42" hidden="0" customWidth="1"/>
    <x:col min="22" max="22" width="4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8" t="str">
        <x:v>Long-Context and Budget Evaluation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Measure reliability as context and execution budgets grow. Add rows for every repetition.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Run ID</x:v>
      </x:c>
      <x:c r="B5" s="40" t="str">
        <x:v>Scenario</x:v>
      </x:c>
      <x:c r="C5" s="40" t="str">
        <x:v>Follow-up target</x:v>
      </x:c>
      <x:c r="D5" s="40" t="str">
        <x:v>Request budget</x:v>
      </x:c>
      <x:c r="E5" s="40" t="str">
        <x:v>Step budget</x:v>
      </x:c>
      <x:c r="F5" s="40" t="str">
        <x:v>Action budget</x:v>
      </x:c>
      <x:c r="G5" s="40" t="str">
        <x:v>Actual follow-ups</x:v>
      </x:c>
      <x:c r="H5" s="40" t="str">
        <x:v>Status</x:v>
      </x:c>
      <x:c r="I5" s="40" t="str">
        <x:v>Facts tested</x:v>
      </x:c>
      <x:c r="J5" s="40" t="str">
        <x:v>Facts retained</x:v>
      </x:c>
      <x:c r="K5" s="40" t="str">
        <x:v>Retention rate</x:v>
      </x:c>
      <x:c r="L5" s="40" t="str">
        <x:v>Constraint violations</x:v>
      </x:c>
      <x:c r="M5" s="40" t="str">
        <x:v>Model requests used</x:v>
      </x:c>
      <x:c r="N5" s="40" t="str">
        <x:v>Steps used</x:v>
      </x:c>
      <x:c r="O5" s="40" t="str">
        <x:v>Actions used</x:v>
      </x:c>
      <x:c r="P5" s="40" t="str">
        <x:v>Input tokens</x:v>
      </x:c>
      <x:c r="Q5" s="40" t="str">
        <x:v>Output tokens</x:v>
      </x:c>
      <x:c r="R5" s="40" t="str">
        <x:v>Duration (sec)</x:v>
      </x:c>
      <x:c r="S5" s="40" t="str">
        <x:v>Failure point / limit</x:v>
      </x:c>
      <x:c r="T5" s="40" t="str">
        <x:v>Partial answer quality</x:v>
      </x:c>
      <x:c r="U5" s="40" t="str">
        <x:v>Context loss, repetition, or looping</x:v>
      </x:c>
      <x:c r="V5" s="40" t="str">
        <x:v>Recommendation</x:v>
      </x:c>
      <x:c r="W5" s="37"/>
      <x:c r="X5" s="37"/>
      <x:c r="Y5" s="37"/>
      <x:c r="Z5" s="37"/>
    </x:row>
    <x:row r="6" ht="52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35" t="str">
        <x:f>IF(OR(I6="",H6=""),"",IF(I6=0,"n.a.",J6/I6))</x:f>
      </x:c>
      <x:c r="L6" s="22" t="str"/>
      <x:c r="M6" s="22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37"/>
      <x:c r="X6" s="37"/>
      <x:c r="Y6" s="37"/>
      <x:c r="Z6" s="37"/>
    </x:row>
    <x:row r="7" ht="52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36" t="str">
        <x:f>IF(OR(I7="",H7=""),"",IF(I7=0,"n.a.",J7/I7))</x:f>
      </x:c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/>
      <x:c r="W7" s="37"/>
      <x:c r="X7" s="37"/>
      <x:c r="Y7" s="37"/>
      <x:c r="Z7" s="37"/>
    </x:row>
    <x:row r="8" ht="52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36" t="str">
        <x:f>IF(OR(I8="",H8=""),"",IF(I8=0,"n.a.",J8/I8))</x:f>
      </x:c>
      <x:c r="L8" s="23" t="str"/>
      <x:c r="M8" s="23" t="str"/>
      <x:c r="N8" s="23" t="str"/>
      <x:c r="O8" s="23" t="str"/>
      <x:c r="P8" s="23" t="str"/>
      <x:c r="Q8" s="23" t="str"/>
      <x:c r="R8" s="23" t="str"/>
      <x:c r="S8" s="23" t="str"/>
      <x:c r="T8" s="23" t="str"/>
      <x:c r="U8" s="23" t="str"/>
      <x:c r="V8" s="23" t="str"/>
      <x:c r="W8" s="37"/>
      <x:c r="X8" s="37"/>
      <x:c r="Y8" s="37"/>
      <x:c r="Z8" s="37"/>
    </x:row>
    <x:row r="9" ht="52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36" t="str">
        <x:f>IF(OR(I9="",H9=""),"",IF(I9=0,"n.a.",J9/I9))</x:f>
      </x:c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/>
      <x:c r="W9" s="37"/>
      <x:c r="X9" s="37"/>
      <x:c r="Y9" s="37"/>
      <x:c r="Z9" s="37"/>
    </x:row>
    <x:row r="10" ht="52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36" t="str">
        <x:f>IF(OR(I10="",H10=""),"",IF(I10=0,"n.a.",J10/I10))</x:f>
      </x:c>
      <x:c r="L10" s="23" t="str"/>
      <x:c r="M10" s="23" t="str"/>
      <x:c r="N10" s="23" t="str"/>
      <x:c r="O10" s="23" t="str"/>
      <x:c r="P10" s="23" t="str"/>
      <x:c r="Q10" s="23" t="str"/>
      <x:c r="R10" s="23" t="str"/>
      <x:c r="S10" s="23" t="str"/>
      <x:c r="T10" s="23" t="str"/>
      <x:c r="U10" s="23" t="str"/>
      <x:c r="V10" s="23" t="str"/>
      <x:c r="W10" s="37"/>
      <x:c r="X10" s="37"/>
      <x:c r="Y10" s="37"/>
      <x:c r="Z10" s="37"/>
    </x:row>
    <x:row r="11" ht="52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36" t="str">
        <x:f>IF(OR(I11="",H11=""),"",IF(I11=0,"n.a.",J11/I11))</x:f>
      </x:c>
      <x:c r="L11" s="23" t="str"/>
      <x:c r="M11" s="23" t="str"/>
      <x:c r="N11" s="23" t="str"/>
      <x:c r="O11" s="23" t="str"/>
      <x:c r="P11" s="23" t="str"/>
      <x:c r="Q11" s="23" t="str"/>
      <x:c r="R11" s="23" t="str"/>
      <x:c r="S11" s="23" t="str"/>
      <x:c r="T11" s="23" t="str"/>
      <x:c r="U11" s="23" t="str"/>
      <x:c r="V11" s="23" t="str"/>
      <x:c r="W11" s="37"/>
      <x:c r="X11" s="37"/>
      <x:c r="Y11" s="37"/>
      <x:c r="Z11" s="37"/>
    </x:row>
    <x:row r="12" ht="52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36" t="str">
        <x:f>IF(OR(I12="",H12=""),"",IF(I12=0,"n.a.",J12/I12))</x:f>
      </x:c>
      <x:c r="L12" s="23" t="str"/>
      <x:c r="M12" s="23" t="str"/>
      <x:c r="N12" s="23" t="str"/>
      <x:c r="O12" s="23" t="str"/>
      <x:c r="P12" s="23" t="str"/>
      <x:c r="Q12" s="23" t="str"/>
      <x:c r="R12" s="23" t="str"/>
      <x:c r="S12" s="23" t="str"/>
      <x:c r="T12" s="23" t="str"/>
      <x:c r="U12" s="23" t="str"/>
      <x:c r="V12" s="23" t="str"/>
      <x:c r="W12" s="37"/>
      <x:c r="X12" s="37"/>
      <x:c r="Y12" s="37"/>
      <x:c r="Z12" s="37"/>
    </x:row>
    <x:row r="13" ht="52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36" t="str">
        <x:f>IF(OR(I13="",H13=""),"",IF(I13=0,"n.a.",J13/I13))</x:f>
      </x:c>
      <x:c r="L13" s="23" t="str"/>
      <x:c r="M13" s="23" t="str"/>
      <x:c r="N13" s="23" t="str"/>
      <x:c r="O13" s="23" t="str"/>
      <x:c r="P13" s="23" t="str"/>
      <x:c r="Q13" s="23" t="str"/>
      <x:c r="R13" s="23" t="str"/>
      <x:c r="S13" s="23" t="str"/>
      <x:c r="T13" s="23" t="str"/>
      <x:c r="U13" s="23" t="str"/>
      <x:c r="V13" s="23" t="str"/>
      <x:c r="W13" s="37"/>
      <x:c r="X13" s="37"/>
      <x:c r="Y13" s="37"/>
      <x:c r="Z13" s="37"/>
    </x:row>
    <x:row r="14" ht="52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36" t="str">
        <x:f>IF(OR(I14="",H14=""),"",IF(I14=0,"n.a.",J14/I14))</x:f>
      </x:c>
      <x:c r="L14" s="23" t="str"/>
      <x:c r="M14" s="23" t="str"/>
      <x:c r="N14" s="23" t="str"/>
      <x:c r="O14" s="23" t="str"/>
      <x:c r="P14" s="23" t="str"/>
      <x:c r="Q14" s="23" t="str"/>
      <x:c r="R14" s="23" t="str"/>
      <x:c r="S14" s="23" t="str"/>
      <x:c r="T14" s="23" t="str"/>
      <x:c r="U14" s="23" t="str"/>
      <x:c r="V14" s="23" t="str"/>
      <x:c r="W14" s="37"/>
      <x:c r="X14" s="37"/>
      <x:c r="Y14" s="37"/>
      <x:c r="Z14" s="37"/>
    </x:row>
    <x:row r="15" ht="52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36" t="str">
        <x:f>IF(OR(I15="",H15=""),"",IF(I15=0,"n.a.",J15/I15))</x:f>
      </x:c>
      <x:c r="L15" s="23" t="str"/>
      <x:c r="M15" s="23" t="str"/>
      <x:c r="N15" s="23" t="str"/>
      <x:c r="O15" s="23" t="str"/>
      <x:c r="P15" s="23" t="str"/>
      <x:c r="Q15" s="23" t="str"/>
      <x:c r="R15" s="23" t="str"/>
      <x:c r="S15" s="23" t="str"/>
      <x:c r="T15" s="23" t="str"/>
      <x:c r="U15" s="23" t="str"/>
      <x:c r="V15" s="23" t="str"/>
      <x:c r="W15" s="37"/>
      <x:c r="X15" s="37"/>
      <x:c r="Y15" s="37"/>
      <x:c r="Z15" s="37"/>
    </x:row>
    <x:row r="16" ht="52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36" t="str">
        <x:f>IF(OR(I16="",H16=""),"",IF(I16=0,"n.a.",J16/I16))</x:f>
      </x:c>
      <x:c r="L16" s="23" t="str"/>
      <x:c r="M16" s="23" t="str"/>
      <x:c r="N16" s="23" t="str"/>
      <x:c r="O16" s="23" t="str"/>
      <x:c r="P16" s="23" t="str"/>
      <x:c r="Q16" s="23" t="str"/>
      <x:c r="R16" s="23" t="str"/>
      <x:c r="S16" s="23" t="str"/>
      <x:c r="T16" s="23" t="str"/>
      <x:c r="U16" s="23" t="str"/>
      <x:c r="V16" s="23" t="str"/>
      <x:c r="W16" s="37"/>
      <x:c r="X16" s="37"/>
      <x:c r="Y16" s="37"/>
      <x:c r="Z16" s="37"/>
    </x:row>
    <x:row r="17" ht="52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36" t="str">
        <x:f>IF(OR(I17="",H17=""),"",IF(I17=0,"n.a.",J17/I17))</x:f>
      </x:c>
      <x:c r="L17" s="23" t="str"/>
      <x:c r="M17" s="23" t="str"/>
      <x:c r="N17" s="23" t="str"/>
      <x:c r="O17" s="23" t="str"/>
      <x:c r="P17" s="23" t="str"/>
      <x:c r="Q17" s="23" t="str"/>
      <x:c r="R17" s="23" t="str"/>
      <x:c r="S17" s="23" t="str"/>
      <x:c r="T17" s="23" t="str"/>
      <x:c r="U17" s="23" t="str"/>
      <x:c r="V17" s="23" t="str"/>
      <x:c r="W17" s="37"/>
      <x:c r="X17" s="37"/>
      <x:c r="Y17" s="37"/>
      <x:c r="Z17" s="37"/>
    </x:row>
    <x:row r="18" ht="52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36" t="str">
        <x:f>IF(OR(I18="",H18=""),"",IF(I18=0,"n.a.",J18/I18))</x:f>
      </x:c>
      <x:c r="L18" s="23" t="str"/>
      <x:c r="M18" s="23" t="str"/>
      <x:c r="N18" s="23" t="str"/>
      <x:c r="O18" s="23" t="str"/>
      <x:c r="P18" s="23" t="str"/>
      <x:c r="Q18" s="23" t="str"/>
      <x:c r="R18" s="23" t="str"/>
      <x:c r="S18" s="23" t="str"/>
      <x:c r="T18" s="23" t="str"/>
      <x:c r="U18" s="23" t="str"/>
      <x:c r="V18" s="23" t="str"/>
      <x:c r="W18" s="37"/>
      <x:c r="X18" s="37"/>
      <x:c r="Y18" s="37"/>
      <x:c r="Z18" s="37"/>
    </x:row>
    <x:row r="19" ht="52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36" t="str">
        <x:f>IF(OR(I19="",H19=""),"",IF(I19=0,"n.a.",J19/I19))</x:f>
      </x:c>
      <x:c r="L19" s="23" t="str"/>
      <x:c r="M19" s="23" t="str"/>
      <x:c r="N19" s="23" t="str"/>
      <x:c r="O19" s="23" t="str"/>
      <x:c r="P19" s="23" t="str"/>
      <x:c r="Q19" s="23" t="str"/>
      <x:c r="R19" s="23" t="str"/>
      <x:c r="S19" s="23" t="str"/>
      <x:c r="T19" s="23" t="str"/>
      <x:c r="U19" s="23" t="str"/>
      <x:c r="V19" s="23" t="str"/>
      <x:c r="W19" s="37"/>
      <x:c r="X19" s="37"/>
      <x:c r="Y19" s="37"/>
      <x:c r="Z19" s="37"/>
    </x:row>
    <x:row r="20" ht="52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36" t="str">
        <x:f>IF(OR(I20="",H20=""),"",IF(I20=0,"n.a.",J20/I20))</x:f>
      </x:c>
      <x:c r="L20" s="23" t="str"/>
      <x:c r="M20" s="23" t="str"/>
      <x:c r="N20" s="23" t="str"/>
      <x:c r="O20" s="23" t="str"/>
      <x:c r="P20" s="23" t="str"/>
      <x:c r="Q20" s="23" t="str"/>
      <x:c r="R20" s="23" t="str"/>
      <x:c r="S20" s="23" t="str"/>
      <x:c r="T20" s="23" t="str"/>
      <x:c r="U20" s="23" t="str"/>
      <x:c r="V20" s="23" t="str"/>
      <x:c r="W20" s="37"/>
      <x:c r="X20" s="37"/>
      <x:c r="Y20" s="37"/>
      <x:c r="Z20" s="37"/>
    </x:row>
    <x:row r="21" ht="52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36" t="str">
        <x:f>IF(OR(I21="",H21=""),"",IF(I21=0,"n.a.",J21/I21))</x:f>
      </x:c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/>
      <x:c r="W21" s="37"/>
      <x:c r="X21" s="37"/>
      <x:c r="Y21" s="37"/>
      <x:c r="Z21" s="37"/>
    </x:row>
    <x:row r="22" ht="52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36" t="str">
        <x:f>IF(OR(I22="",H22=""),"",IF(I22=0,"n.a.",J22/I22))</x:f>
      </x:c>
      <x:c r="L22" s="23" t="str"/>
      <x:c r="M22" s="23" t="str"/>
      <x:c r="N22" s="23" t="str"/>
      <x:c r="O22" s="23" t="str"/>
      <x:c r="P22" s="23" t="str"/>
      <x:c r="Q22" s="23" t="str"/>
      <x:c r="R22" s="23" t="str"/>
      <x:c r="S22" s="23" t="str"/>
      <x:c r="T22" s="23" t="str"/>
      <x:c r="U22" s="23" t="str"/>
      <x:c r="V22" s="23" t="str"/>
      <x:c r="W22" s="37"/>
      <x:c r="X22" s="37"/>
      <x:c r="Y22" s="37"/>
      <x:c r="Z22" s="37"/>
    </x:row>
    <x:row r="23" ht="52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36" t="str">
        <x:f>IF(OR(I23="",H23=""),"",IF(I23=0,"n.a.",J23/I23))</x:f>
      </x:c>
      <x:c r="L23" s="23" t="str"/>
      <x:c r="M23" s="23" t="str"/>
      <x:c r="N23" s="23" t="str"/>
      <x:c r="O23" s="23" t="str"/>
      <x:c r="P23" s="23" t="str"/>
      <x:c r="Q23" s="23" t="str"/>
      <x:c r="R23" s="23" t="str"/>
      <x:c r="S23" s="23" t="str"/>
      <x:c r="T23" s="23" t="str"/>
      <x:c r="U23" s="23" t="str"/>
      <x:c r="V23" s="23" t="str"/>
      <x:c r="W23" s="37"/>
      <x:c r="X23" s="37"/>
      <x:c r="Y23" s="37"/>
      <x:c r="Z23" s="37"/>
    </x:row>
    <x:row r="24" ht="52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36" t="str">
        <x:f>IF(OR(I24="",H24=""),"",IF(I24=0,"n.a.",J24/I24))</x:f>
      </x:c>
      <x:c r="L24" s="23" t="str"/>
      <x:c r="M24" s="23" t="str"/>
      <x:c r="N24" s="23" t="str"/>
      <x:c r="O24" s="23" t="str"/>
      <x:c r="P24" s="23" t="str"/>
      <x:c r="Q24" s="23" t="str"/>
      <x:c r="R24" s="23" t="str"/>
      <x:c r="S24" s="23" t="str"/>
      <x:c r="T24" s="23" t="str"/>
      <x:c r="U24" s="23" t="str"/>
      <x:c r="V24" s="23" t="str"/>
      <x:c r="W24" s="37"/>
      <x:c r="X24" s="37"/>
      <x:c r="Y24" s="37"/>
      <x:c r="Z24" s="37"/>
    </x:row>
    <x:row r="25" ht="52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36" t="str">
        <x:f>IF(OR(I25="",H25=""),"",IF(I25=0,"n.a.",J25/I25))</x:f>
      </x:c>
      <x:c r="L25" s="23" t="str"/>
      <x:c r="M25" s="23" t="str"/>
      <x:c r="N25" s="23" t="str"/>
      <x:c r="O25" s="23" t="str"/>
      <x:c r="P25" s="23" t="str"/>
      <x:c r="Q25" s="23" t="str"/>
      <x:c r="R25" s="23" t="str"/>
      <x:c r="S25" s="23" t="str"/>
      <x:c r="T25" s="23" t="str"/>
      <x:c r="U25" s="23" t="str"/>
      <x:c r="V25" s="23" t="str"/>
      <x:c r="W25" s="37"/>
      <x:c r="X25" s="37"/>
      <x:c r="Y25" s="37"/>
      <x:c r="Z25" s="37"/>
    </x:row>
    <x:row r="26" ht="52" customHeight="1">
      <x:c r="A26" s="23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3" t="str"/>
      <x:c r="J26" s="23" t="str"/>
      <x:c r="K26" s="36" t="str">
        <x:f>IF(OR(I26="",H26=""),"",IF(I26=0,"n.a.",J26/I26))</x:f>
      </x:c>
      <x:c r="L26" s="23" t="str"/>
      <x:c r="M26" s="23" t="str"/>
      <x:c r="N26" s="23" t="str"/>
      <x:c r="O26" s="23" t="str"/>
      <x:c r="P26" s="23" t="str"/>
      <x:c r="Q26" s="23" t="str"/>
      <x:c r="R26" s="23" t="str"/>
      <x:c r="S26" s="23" t="str"/>
      <x:c r="T26" s="23" t="str"/>
      <x:c r="U26" s="23" t="str"/>
      <x:c r="V26" s="23" t="str"/>
      <x:c r="W26" s="37"/>
      <x:c r="X26" s="37"/>
      <x:c r="Y26" s="37"/>
      <x:c r="Z26" s="37"/>
    </x:row>
    <x:row r="27" ht="52" customHeight="1">
      <x:c r="A27" s="23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3" t="str"/>
      <x:c r="J27" s="23" t="str"/>
      <x:c r="K27" s="36" t="str">
        <x:f>IF(OR(I27="",H27=""),"",IF(I27=0,"n.a.",J27/I27))</x:f>
      </x:c>
      <x:c r="L27" s="23" t="str"/>
      <x:c r="M27" s="23" t="str"/>
      <x:c r="N27" s="23" t="str"/>
      <x:c r="O27" s="23" t="str"/>
      <x:c r="P27" s="23" t="str"/>
      <x:c r="Q27" s="23" t="str"/>
      <x:c r="R27" s="23" t="str"/>
      <x:c r="S27" s="23" t="str"/>
      <x:c r="T27" s="23" t="str"/>
      <x:c r="U27" s="23" t="str"/>
      <x:c r="V27" s="23" t="str"/>
      <x:c r="W27" s="37"/>
      <x:c r="X27" s="37"/>
      <x:c r="Y27" s="37"/>
      <x:c r="Z27" s="37"/>
    </x:row>
    <x:row r="28" ht="52" customHeight="1">
      <x:c r="A28" s="23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3" t="str"/>
      <x:c r="J28" s="23" t="str"/>
      <x:c r="K28" s="36" t="str">
        <x:f>IF(OR(I28="",H28=""),"",IF(I28=0,"n.a.",J28/I28))</x:f>
      </x:c>
      <x:c r="L28" s="23" t="str"/>
      <x:c r="M28" s="23" t="str"/>
      <x:c r="N28" s="23" t="str"/>
      <x:c r="O28" s="23" t="str"/>
      <x:c r="P28" s="23" t="str"/>
      <x:c r="Q28" s="23" t="str"/>
      <x:c r="R28" s="23" t="str"/>
      <x:c r="S28" s="23" t="str"/>
      <x:c r="T28" s="23" t="str"/>
      <x:c r="U28" s="23" t="str"/>
      <x:c r="V28" s="23" t="str"/>
      <x:c r="W28" s="37"/>
      <x:c r="X28" s="37"/>
      <x:c r="Y28" s="37"/>
      <x:c r="Z28" s="37"/>
    </x:row>
    <x:row r="29" ht="52" customHeight="1">
      <x:c r="A29" s="23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3" t="str"/>
      <x:c r="J29" s="23" t="str"/>
      <x:c r="K29" s="36" t="str">
        <x:f>IF(OR(I29="",H29=""),"",IF(I29=0,"n.a.",J29/I29))</x:f>
      </x:c>
      <x:c r="L29" s="23" t="str"/>
      <x:c r="M29" s="23" t="str"/>
      <x:c r="N29" s="23" t="str"/>
      <x:c r="O29" s="23" t="str"/>
      <x:c r="P29" s="23" t="str"/>
      <x:c r="Q29" s="23" t="str"/>
      <x:c r="R29" s="23" t="str"/>
      <x:c r="S29" s="23" t="str"/>
      <x:c r="T29" s="23" t="str"/>
      <x:c r="U29" s="23" t="str"/>
      <x:c r="V29" s="23" t="str"/>
      <x:c r="W29" s="37"/>
      <x:c r="X29" s="37"/>
      <x:c r="Y29" s="37"/>
      <x:c r="Z29" s="37"/>
    </x:row>
    <x:row r="30" ht="52" customHeight="1">
      <x:c r="A30" s="23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3" t="str"/>
      <x:c r="J30" s="23" t="str"/>
      <x:c r="K30" s="36" t="str">
        <x:f>IF(OR(I30="",H30=""),"",IF(I30=0,"n.a.",J30/I30))</x:f>
      </x:c>
      <x:c r="L30" s="23" t="str"/>
      <x:c r="M30" s="23" t="str"/>
      <x:c r="N30" s="23" t="str"/>
      <x:c r="O30" s="23" t="str"/>
      <x:c r="P30" s="23" t="str"/>
      <x:c r="Q30" s="23" t="str"/>
      <x:c r="R30" s="23" t="str"/>
      <x:c r="S30" s="23" t="str"/>
      <x:c r="T30" s="23" t="str"/>
      <x:c r="U30" s="23" t="str"/>
      <x:c r="V30" s="23" t="str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49" t="str">
        <x:f>IF(OR(I31="",H31=""),"",IF(I31=0,"n.a.",J31/I31))</x:f>
      </x:c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49" t="str">
        <x:f>IF(OR(I32="",H32=""),"",IF(I32=0,"n.a.",J32/I32))</x:f>
      </x:c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49" t="str">
        <x:f>IF(OR(I33="",H33=""),"",IF(I33=0,"n.a.",J33/I33))</x:f>
      </x:c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49" t="str">
        <x:f>IF(OR(I34="",H34=""),"",IF(I34=0,"n.a.",J34/I34))</x:f>
      </x:c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49" t="str">
        <x:f>IF(OR(I35="",H35=""),"",IF(I35=0,"n.a.",J35/I35))</x:f>
      </x:c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49" t="str">
        <x:f>IF(OR(I36="",H36=""),"",IF(I36=0,"n.a.",J36/I36))</x:f>
      </x:c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49" t="str">
        <x:f>IF(OR(I37="",H37=""),"",IF(I37=0,"n.a.",J37/I37))</x:f>
      </x:c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49" t="str">
        <x:f>IF(OR(I38="",H38=""),"",IF(I38=0,"n.a.",J38/I38))</x:f>
      </x:c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49" t="str">
        <x:f>IF(OR(I39="",H39=""),"",IF(I39=0,"n.a.",J39/I39))</x:f>
      </x:c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49" t="str">
        <x:f>IF(OR(I40="",H40=""),"",IF(I40=0,"n.a.",J40/I40))</x:f>
      </x:c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49" t="str">
        <x:f>IF(OR(I41="",H41=""),"",IF(I41=0,"n.a.",J41/I41))</x:f>
      </x:c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49" t="str">
        <x:f>IF(OR(I42="",H42=""),"",IF(I42=0,"n.a.",J42/I42))</x:f>
      </x:c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49" t="str">
        <x:f>IF(OR(I43="",H43=""),"",IF(I43=0,"n.a.",J43/I43))</x:f>
      </x:c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49" t="str">
        <x:f>IF(OR(I44="",H44=""),"",IF(I44=0,"n.a.",J44/I44))</x:f>
      </x:c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49" t="str">
        <x:f>IF(OR(I45="",H45=""),"",IF(I45=0,"n.a.",J45/I45))</x:f>
      </x:c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49" t="str">
        <x:f>IF(OR(I46="",H46=""),"",IF(I46=0,"n.a.",J46/I46))</x:f>
      </x:c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49" t="str">
        <x:f>IF(OR(I47="",H47=""),"",IF(I47=0,"n.a.",J47/I47))</x:f>
      </x:c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49" t="str">
        <x:f>IF(OR(I48="",H48=""),"",IF(I48=0,"n.a.",J48/I48))</x:f>
      </x:c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49" t="str">
        <x:f>IF(OR(I49="",H49=""),"",IF(I49=0,"n.a.",J49/I49))</x:f>
      </x:c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49" t="str">
        <x:f>IF(OR(I50="",H50=""),"",IF(I50=0,"n.a.",J50/I50))</x:f>
      </x:c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49" t="str">
        <x:f>IF(OR(I51="",H51=""),"",IF(I51=0,"n.a.",J51/I51))</x:f>
      </x:c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49" t="str">
        <x:f>IF(OR(I52="",H52=""),"",IF(I52=0,"n.a.",J52/I52))</x:f>
      </x:c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49" t="str">
        <x:f>IF(OR(I53="",H53=""),"",IF(I53=0,"n.a.",J53/I53))</x:f>
      </x:c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49" t="str">
        <x:f>IF(OR(I54="",H54=""),"",IF(I54=0,"n.a.",J54/I54))</x:f>
      </x:c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49" t="str">
        <x:f>IF(OR(I55="",H55=""),"",IF(I55=0,"n.a.",J55/I55))</x:f>
      </x:c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49" t="str">
        <x:f>IF(OR(I56="",H56=""),"",IF(I56=0,"n.a.",J56/I56))</x:f>
      </x:c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49" t="str">
        <x:f>IF(OR(I57="",H57=""),"",IF(I57=0,"n.a.",J57/I57))</x:f>
      </x:c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49" t="str">
        <x:f>IF(OR(I58="",H58=""),"",IF(I58=0,"n.a.",J58/I58))</x:f>
      </x:c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49" t="str">
        <x:f>IF(OR(I59="",H59=""),"",IF(I59=0,"n.a.",J59/I59))</x:f>
      </x:c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49" t="str">
        <x:f>IF(OR(I60="",H60=""),"",IF(I60=0,"n.a.",J60/I60))</x:f>
      </x:c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49" t="str">
        <x:f>IF(OR(I61="",H61=""),"",IF(I61=0,"n.a.",J61/I61))</x:f>
      </x:c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49" t="str">
        <x:f>IF(OR(I62="",H62=""),"",IF(I62=0,"n.a.",J62/I62))</x:f>
      </x:c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49" t="str">
        <x:f>IF(OR(I63="",H63=""),"",IF(I63=0,"n.a.",J63/I63))</x:f>
      </x:c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49" t="str">
        <x:f>IF(OR(I64="",H64=""),"",IF(I64=0,"n.a.",J64/I64))</x:f>
      </x:c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49" t="str">
        <x:f>IF(OR(I65="",H65=""),"",IF(I65=0,"n.a.",J65/I65))</x:f>
      </x:c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49" t="str">
        <x:f>IF(OR(I66="",H66=""),"",IF(I66=0,"n.a.",J66/I66))</x:f>
      </x:c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49" t="str">
        <x:f>IF(OR(I67="",H67=""),"",IF(I67=0,"n.a.",J67/I67))</x:f>
      </x:c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49" t="str">
        <x:f>IF(OR(I68="",H68=""),"",IF(I68=0,"n.a.",J68/I68))</x:f>
      </x:c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49" t="str">
        <x:f>IF(OR(I69="",H69=""),"",IF(I69=0,"n.a.",J69/I69))</x:f>
      </x:c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49" t="str">
        <x:f>IF(OR(I70="",H70=""),"",IF(I70=0,"n.a.",J70/I70))</x:f>
      </x:c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49" t="str">
        <x:f>IF(OR(I71="",H71=""),"",IF(I71=0,"n.a.",J71/I71))</x:f>
      </x:c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49" t="str">
        <x:f>IF(OR(I72="",H72=""),"",IF(I72=0,"n.a.",J72/I72))</x:f>
      </x:c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49" t="str">
        <x:f>IF(OR(I73="",H73=""),"",IF(I73=0,"n.a.",J73/I73))</x:f>
      </x:c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49" t="str">
        <x:f>IF(OR(I74="",H74=""),"",IF(I74=0,"n.a.",J74/I74))</x:f>
      </x:c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49" t="str">
        <x:f>IF(OR(I75="",H75=""),"",IF(I75=0,"n.a.",J75/I75))</x:f>
      </x:c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49" t="str">
        <x:f>IF(OR(I76="",H76=""),"",IF(I76=0,"n.a.",J76/I76))</x:f>
      </x:c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49" t="str">
        <x:f>IF(OR(I77="",H77=""),"",IF(I77=0,"n.a.",J77/I77))</x:f>
      </x:c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49" t="str">
        <x:f>IF(OR(I78="",H78=""),"",IF(I78=0,"n.a.",J78/I78))</x:f>
      </x:c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49" t="str">
        <x:f>IF(OR(I79="",H79=""),"",IF(I79=0,"n.a.",J79/I79))</x:f>
      </x:c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49" t="str">
        <x:f>IF(OR(I80="",H80=""),"",IF(I80=0,"n.a.",J80/I80))</x:f>
      </x:c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49" t="str">
        <x:f>IF(OR(I81="",H81=""),"",IF(I81=0,"n.a.",J81/I81))</x:f>
      </x:c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49" t="str">
        <x:f>IF(OR(I82="",H82=""),"",IF(I82=0,"n.a.",J82/I82))</x:f>
      </x:c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49" t="str">
        <x:f>IF(OR(I83="",H83=""),"",IF(I83=0,"n.a.",J83/I83))</x:f>
      </x:c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49" t="str">
        <x:f>IF(OR(I84="",H84=""),"",IF(I84=0,"n.a.",J84/I84))</x:f>
      </x:c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49" t="str">
        <x:f>IF(OR(I85="",H85=""),"",IF(I85=0,"n.a.",J85/I85))</x:f>
      </x:c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49" t="str">
        <x:f>IF(OR(I86="",H86=""),"",IF(I86=0,"n.a.",J86/I86))</x:f>
      </x:c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49" t="str">
        <x:f>IF(OR(I87="",H87=""),"",IF(I87=0,"n.a.",J87/I87))</x:f>
      </x:c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49" t="str">
        <x:f>IF(OR(I88="",H88=""),"",IF(I88=0,"n.a.",J88/I88))</x:f>
      </x:c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49" t="str">
        <x:f>IF(OR(I89="",H89=""),"",IF(I89=0,"n.a.",J89/I89))</x:f>
      </x:c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49" t="str">
        <x:f>IF(OR(I90="",H90=""),"",IF(I90=0,"n.a.",J90/I90))</x:f>
      </x:c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49" t="str">
        <x:f>IF(OR(I91="",H91=""),"",IF(I91=0,"n.a.",J91/I91))</x:f>
      </x:c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49" t="str">
        <x:f>IF(OR(I92="",H92=""),"",IF(I92=0,"n.a.",J92/I92))</x:f>
      </x:c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49" t="str">
        <x:f>IF(OR(I93="",H93=""),"",IF(I93=0,"n.a.",J93/I93))</x:f>
      </x:c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49" t="str">
        <x:f>IF(OR(I94="",H94=""),"",IF(I94=0,"n.a.",J94/I94))</x:f>
      </x:c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49" t="str">
        <x:f>IF(OR(I95="",H95=""),"",IF(I95=0,"n.a.",J95/I95))</x:f>
      </x:c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49" t="str">
        <x:f>IF(OR(I96="",H96=""),"",IF(I96=0,"n.a.",J96/I96))</x:f>
      </x:c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49" t="str">
        <x:f>IF(OR(I97="",H97=""),"",IF(I97=0,"n.a.",J97/I97))</x:f>
      </x:c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49" t="str">
        <x:f>IF(OR(I98="",H98=""),"",IF(I98=0,"n.a.",J98/I98))</x:f>
      </x:c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49" t="str">
        <x:f>IF(OR(I99="",H99=""),"",IF(I99=0,"n.a.",J99/I99))</x:f>
      </x:c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49" t="str">
        <x:f>IF(OR(I100="",H100=""),"",IF(I100=0,"n.a.",J100/I100))</x:f>
      </x:c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conditionalFormatting sqref="H6:H100">
    <x:cfRule type="containsText" dxfId="5" priority="1" operator="containsText" text="Pass"/>
    <x:cfRule type="containsText" dxfId="6" priority="2" operator="containsText" text="Fail"/>
    <x:cfRule type="containsText" dxfId="7" priority="3" operator="containsText" text="Blocked"/>
  </x:conditionalFormatting>
  <x:dataValidations count="2">
    <x:dataValidation type="list" sqref="H6:H100">
      <x:formula1>"Not Run,Pass,Fail,Blocked,Limit reached"</x:formula1>
    </x:dataValidation>
    <x:dataValidation type="list" sqref="T6:T100">
      <x:formula1>"Complete and useful,Useful but incomplete,Poor,Not produced"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35f272e4a64864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8" hidden="0" customWidth="1"/>
    <x:col min="4" max="4" width="48" hidden="0" customWidth="1"/>
    <x:col min="5" max="5" width="14" hidden="0" customWidth="1"/>
    <x:col min="6" max="6" width="12" hidden="0" customWidth="1"/>
    <x:col min="7" max="7" width="30" hidden="0" customWidth="1"/>
    <x:col min="8" max="8" width="42" hidden="0" customWidth="1"/>
    <x:col min="9" max="9" width="42" hidden="0" customWidth="1"/>
    <x:col min="10" max="10" width="38" hidden="0" customWidth="1"/>
    <x:col min="11" max="11" width="1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8" t="str">
        <x:v>Conversation Storage Review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Validate behavior first, then record schema or storage improvements supported by evidence.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Review ID</x:v>
      </x:c>
      <x:c r="B5" s="40" t="str">
        <x:v>Area</x:v>
      </x:c>
      <x:c r="C5" s="40" t="str">
        <x:v>Manual test / review</x:v>
      </x:c>
      <x:c r="D5" s="40" t="str">
        <x:v>Expected result</x:v>
      </x:c>
      <x:c r="E5" s="40" t="str">
        <x:v>Result</x:v>
      </x:c>
      <x:c r="F5" s="40" t="str">
        <x:v>Risk</x:v>
      </x:c>
      <x:c r="G5" s="40" t="str">
        <x:v>Evidence / query used</x:v>
      </x:c>
      <x:c r="H5" s="40" t="str">
        <x:v>Observation</x:v>
      </x:c>
      <x:c r="I5" s="40" t="str">
        <x:v>Suggested improvement</x:v>
      </x:c>
      <x:c r="J5" s="40" t="str">
        <x:v>Trade-offs</x:v>
      </x:c>
      <x:c r="K5" s="40" t="str">
        <x:v>Issue ID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 ht="62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 ht="62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62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 ht="62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62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 ht="62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 ht="62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 ht="62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 ht="62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 ht="62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 ht="62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62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 ht="62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 ht="62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 ht="62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 ht="62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 ht="62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 ht="62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23" t="str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 ht="62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23" t="str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 ht="62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23" t="str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 ht="62" customHeight="1">
      <x:c r="A26" s="23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3" t="str"/>
      <x:c r="J26" s="23" t="str"/>
      <x:c r="K26" s="23" t="str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 ht="62" customHeight="1">
      <x:c r="A27" s="23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3" t="str"/>
      <x:c r="J27" s="23" t="str"/>
      <x:c r="K27" s="23" t="str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 ht="62" customHeight="1">
      <x:c r="A28" s="23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3" t="str"/>
      <x:c r="J28" s="23" t="str"/>
      <x:c r="K28" s="23" t="str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 ht="62" customHeight="1">
      <x:c r="A29" s="23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3" t="str"/>
      <x:c r="J29" s="23" t="str"/>
      <x:c r="K29" s="23" t="str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 ht="62" customHeight="1">
      <x:c r="A30" s="23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3" t="str"/>
      <x:c r="J30" s="23" t="str"/>
      <x:c r="K30" s="23" t="str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conditionalFormatting sqref="E6:E100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</x:conditionalFormatting>
  <x:dataValidations count="2">
    <x:dataValidation type="list" sqref="E6:E100">
      <x:formula1>"Not Run,Pass,Fail,Blocked,Review only"</x:formula1>
    </x:dataValidation>
    <x:dataValidation type="list" sqref="F6:F100">
      <x:formula1>"Critical,High,Medium,Low,None"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41808f89f24527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8" hidden="0" customWidth="1"/>
    <x:col min="5" max="5" width="45" hidden="0" customWidth="1"/>
    <x:col min="6" max="6" width="32" hidden="0" customWidth="1"/>
    <x:col min="7" max="7" width="32" hidden="0" customWidth="1"/>
    <x:col min="8" max="8" width="42" hidden="0" customWidth="1"/>
    <x:col min="9" max="9" width="12" hidden="0" customWidth="1"/>
    <x:col min="10" max="10" width="12" hidden="0" customWidth="1"/>
    <x:col min="11" max="11" width="16" hidden="0" customWidth="1"/>
    <x:col min="12" max="12" width="14" hidden="0" customWidth="1"/>
    <x:col min="13" max="13" width="3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8" t="str">
        <x:v>Recommendations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Prioritize evidence-backed changes, including alternatives and operational trade-offs.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40" t="str">
        <x:v>Recommendation ID</x:v>
      </x:c>
      <x:c r="B5" s="40" t="str">
        <x:v>Related Issue / Test</x:v>
      </x:c>
      <x:c r="C5" s="40" t="str">
        <x:v>Area</x:v>
      </x:c>
      <x:c r="D5" s="40" t="str">
        <x:v>Current behavior</x:v>
      </x:c>
      <x:c r="E5" s="40" t="str">
        <x:v>Proposed solution</x:v>
      </x:c>
      <x:c r="F5" s="40" t="str">
        <x:v>Evidence</x:v>
      </x:c>
      <x:c r="G5" s="40" t="str">
        <x:v>Benefit</x:v>
      </x:c>
      <x:c r="H5" s="40" t="str">
        <x:v>Risk / trade-off</x:v>
      </x:c>
      <x:c r="I5" s="40" t="str">
        <x:v>Effort</x:v>
      </x:c>
      <x:c r="J5" s="40" t="str">
        <x:v>Priority</x:v>
      </x:c>
      <x:c r="K5" s="40" t="str">
        <x:v>Owner</x:v>
      </x:c>
      <x:c r="L5" s="40" t="str">
        <x:v>Decision</x:v>
      </x:c>
      <x:c r="M5" s="40" t="str">
        <x:v>Notes</x:v>
      </x:c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 ht="58" customHeight="1">
      <x:c r="A6" s="22" t="str"/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 ht="58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58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 ht="58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58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 ht="58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 ht="58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 ht="58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 ht="58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 ht="58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 ht="58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 ht="58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 ht="58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 ht="58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 ht="58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 ht="58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 ht="58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23" t="str"/>
      <x:c r="M22" s="23" t="str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 ht="58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3" t="str"/>
      <x:c r="J23" s="23" t="str"/>
      <x:c r="K23" s="23" t="str"/>
      <x:c r="L23" s="23" t="str"/>
      <x:c r="M23" s="23" t="str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 ht="58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3" t="str"/>
      <x:c r="J24" s="23" t="str"/>
      <x:c r="K24" s="23" t="str"/>
      <x:c r="L24" s="23" t="str"/>
      <x:c r="M24" s="23" t="str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 ht="58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3" t="str"/>
      <x:c r="J25" s="23" t="str"/>
      <x:c r="K25" s="23" t="str"/>
      <x:c r="L25" s="23" t="str"/>
      <x:c r="M25" s="23" t="str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  <x:c r="J201" s="37"/>
      <x:c r="K201" s="37"/>
      <x:c r="L201" s="37"/>
      <x:c r="M201" s="37"/>
      <x:c r="N201" s="37"/>
      <x:c r="O201" s="37"/>
      <x:c r="P201" s="37"/>
      <x:c r="Q201" s="37"/>
      <x:c r="R201" s="37"/>
      <x:c r="S201" s="37"/>
      <x:c r="T201" s="37"/>
      <x:c r="U201" s="37"/>
      <x:c r="V201" s="37"/>
      <x:c r="W201" s="37"/>
      <x:c r="X201" s="37"/>
      <x:c r="Y201" s="37"/>
      <x:c r="Z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  <x:c r="J202" s="37"/>
      <x:c r="K202" s="37"/>
      <x:c r="L202" s="37"/>
      <x:c r="M202" s="37"/>
      <x:c r="N202" s="37"/>
      <x:c r="O202" s="37"/>
      <x:c r="P202" s="37"/>
      <x:c r="Q202" s="37"/>
      <x:c r="R202" s="37"/>
      <x:c r="S202" s="37"/>
      <x:c r="T202" s="37"/>
      <x:c r="U202" s="37"/>
      <x:c r="V202" s="37"/>
      <x:c r="W202" s="37"/>
      <x:c r="X202" s="37"/>
      <x:c r="Y202" s="37"/>
      <x:c r="Z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  <x:c r="J203" s="37"/>
      <x:c r="K203" s="37"/>
      <x:c r="L203" s="37"/>
      <x:c r="M203" s="37"/>
      <x:c r="N203" s="37"/>
      <x:c r="O203" s="37"/>
      <x:c r="P203" s="37"/>
      <x:c r="Q203" s="37"/>
      <x:c r="R203" s="37"/>
      <x:c r="S203" s="37"/>
      <x:c r="T203" s="37"/>
      <x:c r="U203" s="37"/>
      <x:c r="V203" s="37"/>
      <x:c r="W203" s="37"/>
      <x:c r="X203" s="37"/>
      <x:c r="Y203" s="37"/>
      <x:c r="Z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  <x:c r="Q204" s="37"/>
      <x:c r="R204" s="37"/>
      <x:c r="S204" s="37"/>
      <x:c r="T204" s="37"/>
      <x:c r="U204" s="37"/>
      <x:c r="V204" s="37"/>
      <x:c r="W204" s="37"/>
      <x:c r="X204" s="37"/>
      <x:c r="Y204" s="37"/>
      <x:c r="Z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  <x:c r="Q205" s="37"/>
      <x:c r="R205" s="37"/>
      <x:c r="S205" s="37"/>
      <x:c r="T205" s="37"/>
      <x:c r="U205" s="37"/>
      <x:c r="V205" s="37"/>
      <x:c r="W205" s="37"/>
      <x:c r="X205" s="37"/>
      <x:c r="Y205" s="37"/>
      <x:c r="Z205" s="37"/>
    </x:row>
    <x:row r="206">
      <x:c r="A206" s="37"/>
      <x:c r="B206" s="37"/>
      <x:c r="C206" s="37"/>
      <x:c r="D206" s="37"/>
      <x:c r="E206" s="37"/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  <x:c r="Q206" s="37"/>
      <x:c r="R206" s="37"/>
      <x:c r="S206" s="37"/>
      <x:c r="T206" s="37"/>
      <x:c r="U206" s="37"/>
      <x:c r="V206" s="37"/>
      <x:c r="W206" s="37"/>
      <x:c r="X206" s="37"/>
      <x:c r="Y206" s="37"/>
      <x:c r="Z206" s="37"/>
    </x:row>
    <x:row r="207">
      <x:c r="A207" s="37"/>
      <x:c r="B207" s="37"/>
      <x:c r="C207" s="37"/>
      <x:c r="D207" s="37"/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  <x:c r="Q207" s="37"/>
      <x:c r="R207" s="37"/>
      <x:c r="S207" s="37"/>
      <x:c r="T207" s="37"/>
      <x:c r="U207" s="37"/>
      <x:c r="V207" s="37"/>
      <x:c r="W207" s="37"/>
      <x:c r="X207" s="37"/>
      <x:c r="Y207" s="37"/>
      <x:c r="Z207" s="37"/>
    </x:row>
    <x:row r="208">
      <x:c r="A208" s="37"/>
      <x:c r="B208" s="37"/>
      <x:c r="C208" s="37"/>
      <x:c r="D208" s="37"/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  <x:c r="Q208" s="37"/>
      <x:c r="R208" s="37"/>
      <x:c r="S208" s="37"/>
      <x:c r="T208" s="37"/>
      <x:c r="U208" s="37"/>
      <x:c r="V208" s="37"/>
      <x:c r="W208" s="37"/>
      <x:c r="X208" s="37"/>
      <x:c r="Y208" s="37"/>
      <x:c r="Z208" s="37"/>
    </x:row>
    <x:row r="209">
      <x:c r="A209" s="37"/>
      <x:c r="B209" s="37"/>
      <x:c r="C209" s="37"/>
      <x:c r="D209" s="37"/>
      <x:c r="E209" s="37"/>
      <x:c r="F209" s="37"/>
      <x:c r="G209" s="37"/>
      <x:c r="H209" s="37"/>
      <x:c r="I209" s="37"/>
      <x:c r="J209" s="37"/>
      <x:c r="K209" s="37"/>
      <x:c r="L209" s="37"/>
      <x:c r="M209" s="37"/>
      <x:c r="N209" s="37"/>
      <x:c r="O209" s="37"/>
      <x:c r="P209" s="37"/>
      <x:c r="Q209" s="37"/>
      <x:c r="R209" s="37"/>
      <x:c r="S209" s="37"/>
      <x:c r="T209" s="37"/>
      <x:c r="U209" s="37"/>
      <x:c r="V209" s="37"/>
      <x:c r="W209" s="37"/>
      <x:c r="X209" s="37"/>
      <x:c r="Y209" s="37"/>
      <x:c r="Z209" s="37"/>
    </x:row>
    <x:row r="210">
      <x:c r="A210" s="37"/>
      <x:c r="B210" s="37"/>
      <x:c r="C210" s="37"/>
      <x:c r="D210" s="37"/>
      <x:c r="E210" s="37"/>
      <x:c r="F210" s="37"/>
      <x:c r="G210" s="37"/>
      <x:c r="H210" s="37"/>
      <x:c r="I210" s="37"/>
      <x:c r="J210" s="37"/>
      <x:c r="K210" s="37"/>
      <x:c r="L210" s="37"/>
      <x:c r="M210" s="37"/>
      <x:c r="N210" s="37"/>
      <x:c r="O210" s="37"/>
      <x:c r="P210" s="37"/>
      <x:c r="Q210" s="37"/>
      <x:c r="R210" s="37"/>
      <x:c r="S210" s="37"/>
      <x:c r="T210" s="37"/>
      <x:c r="U210" s="37"/>
      <x:c r="V210" s="37"/>
      <x:c r="W210" s="37"/>
      <x:c r="X210" s="37"/>
      <x:c r="Y210" s="37"/>
      <x:c r="Z210" s="37"/>
    </x:row>
    <x:row r="211">
      <x:c r="A211" s="37"/>
      <x:c r="B211" s="37"/>
      <x:c r="C211" s="37"/>
      <x:c r="D211" s="37"/>
      <x:c r="E211" s="37"/>
      <x:c r="F211" s="37"/>
      <x:c r="G211" s="37"/>
      <x:c r="H211" s="37"/>
      <x:c r="I211" s="37"/>
      <x:c r="J211" s="37"/>
      <x:c r="K211" s="37"/>
      <x:c r="L211" s="37"/>
      <x:c r="M211" s="37"/>
      <x:c r="N211" s="37"/>
      <x:c r="O211" s="37"/>
      <x:c r="P211" s="37"/>
      <x:c r="Q211" s="37"/>
      <x:c r="R211" s="37"/>
      <x:c r="S211" s="37"/>
      <x:c r="T211" s="37"/>
      <x:c r="U211" s="37"/>
      <x:c r="V211" s="37"/>
      <x:c r="W211" s="37"/>
      <x:c r="X211" s="37"/>
      <x:c r="Y211" s="37"/>
      <x:c r="Z211" s="37"/>
    </x:row>
    <x:row r="212">
      <x:c r="A212" s="37"/>
      <x:c r="B212" s="37"/>
      <x:c r="C212" s="37"/>
      <x:c r="D212" s="37"/>
      <x:c r="E212" s="37"/>
      <x:c r="F212" s="37"/>
      <x:c r="G212" s="37"/>
      <x:c r="H212" s="37"/>
      <x:c r="I212" s="37"/>
      <x:c r="J212" s="37"/>
      <x:c r="K212" s="37"/>
      <x:c r="L212" s="37"/>
      <x:c r="M212" s="37"/>
      <x:c r="N212" s="37"/>
      <x:c r="O212" s="37"/>
      <x:c r="P212" s="37"/>
      <x:c r="Q212" s="37"/>
      <x:c r="R212" s="37"/>
      <x:c r="S212" s="37"/>
      <x:c r="T212" s="37"/>
      <x:c r="U212" s="37"/>
      <x:c r="V212" s="37"/>
      <x:c r="W212" s="37"/>
      <x:c r="X212" s="37"/>
      <x:c r="Y212" s="37"/>
      <x:c r="Z212" s="37"/>
    </x:row>
    <x:row r="213">
      <x:c r="A213" s="37"/>
      <x:c r="B213" s="37"/>
      <x:c r="C213" s="37"/>
      <x:c r="D213" s="37"/>
      <x:c r="E213" s="37"/>
      <x:c r="F213" s="37"/>
      <x:c r="G213" s="37"/>
      <x:c r="H213" s="37"/>
      <x:c r="I213" s="37"/>
      <x:c r="J213" s="37"/>
      <x:c r="K213" s="37"/>
      <x:c r="L213" s="37"/>
      <x:c r="M213" s="37"/>
      <x:c r="N213" s="37"/>
      <x:c r="O213" s="37"/>
      <x:c r="P213" s="37"/>
      <x:c r="Q213" s="37"/>
      <x:c r="R213" s="37"/>
      <x:c r="S213" s="37"/>
      <x:c r="T213" s="37"/>
      <x:c r="U213" s="37"/>
      <x:c r="V213" s="37"/>
      <x:c r="W213" s="37"/>
      <x:c r="X213" s="37"/>
      <x:c r="Y213" s="37"/>
      <x:c r="Z213" s="37"/>
    </x:row>
    <x:row r="214">
      <x:c r="A214" s="37"/>
      <x:c r="B214" s="37"/>
      <x:c r="C214" s="37"/>
      <x:c r="D214" s="37"/>
      <x:c r="E214" s="37"/>
      <x:c r="F214" s="37"/>
      <x:c r="G214" s="37"/>
      <x:c r="H214" s="37"/>
      <x:c r="I214" s="37"/>
      <x:c r="J214" s="37"/>
      <x:c r="K214" s="37"/>
      <x:c r="L214" s="37"/>
      <x:c r="M214" s="37"/>
      <x:c r="N214" s="37"/>
      <x:c r="O214" s="37"/>
      <x:c r="P214" s="37"/>
      <x:c r="Q214" s="37"/>
      <x:c r="R214" s="37"/>
      <x:c r="S214" s="37"/>
      <x:c r="T214" s="37"/>
      <x:c r="U214" s="37"/>
      <x:c r="V214" s="37"/>
      <x:c r="W214" s="37"/>
      <x:c r="X214" s="37"/>
      <x:c r="Y214" s="37"/>
      <x:c r="Z214" s="37"/>
    </x:row>
    <x:row r="215">
      <x:c r="A215" s="37"/>
      <x:c r="B215" s="37"/>
      <x:c r="C215" s="37"/>
      <x:c r="D215" s="37"/>
      <x:c r="E215" s="37"/>
      <x:c r="F215" s="37"/>
      <x:c r="G215" s="37"/>
      <x:c r="H215" s="37"/>
      <x:c r="I215" s="37"/>
      <x:c r="J215" s="37"/>
      <x:c r="K215" s="37"/>
      <x:c r="L215" s="37"/>
      <x:c r="M215" s="37"/>
      <x:c r="N215" s="37"/>
      <x:c r="O215" s="37"/>
      <x:c r="P215" s="37"/>
      <x:c r="Q215" s="37"/>
      <x:c r="R215" s="37"/>
      <x:c r="S215" s="37"/>
      <x:c r="T215" s="37"/>
      <x:c r="U215" s="37"/>
      <x:c r="V215" s="37"/>
      <x:c r="W215" s="37"/>
      <x:c r="X215" s="37"/>
      <x:c r="Y215" s="37"/>
      <x:c r="Z215" s="37"/>
    </x:row>
    <x:row r="216">
      <x:c r="A216" s="37"/>
      <x:c r="B216" s="37"/>
      <x:c r="C216" s="37"/>
      <x:c r="D216" s="37"/>
      <x:c r="E216" s="37"/>
      <x:c r="F216" s="37"/>
      <x:c r="G216" s="37"/>
      <x:c r="H216" s="37"/>
      <x:c r="I216" s="37"/>
      <x:c r="J216" s="37"/>
      <x:c r="K216" s="37"/>
      <x:c r="L216" s="37"/>
      <x:c r="M216" s="37"/>
      <x:c r="N216" s="37"/>
      <x:c r="O216" s="37"/>
      <x:c r="P216" s="37"/>
      <x:c r="Q216" s="37"/>
      <x:c r="R216" s="37"/>
      <x:c r="S216" s="37"/>
      <x:c r="T216" s="37"/>
      <x:c r="U216" s="37"/>
      <x:c r="V216" s="37"/>
      <x:c r="W216" s="37"/>
      <x:c r="X216" s="37"/>
      <x:c r="Y216" s="37"/>
      <x:c r="Z216" s="37"/>
    </x:row>
    <x:row r="217">
      <x:c r="A217" s="37"/>
      <x:c r="B217" s="37"/>
      <x:c r="C217" s="37"/>
      <x:c r="D217" s="37"/>
      <x:c r="E217" s="37"/>
      <x:c r="F217" s="37"/>
      <x:c r="G217" s="37"/>
      <x:c r="H217" s="37"/>
      <x:c r="I217" s="37"/>
      <x:c r="J217" s="37"/>
      <x:c r="K217" s="37"/>
      <x:c r="L217" s="37"/>
      <x:c r="M217" s="37"/>
      <x:c r="N217" s="37"/>
      <x:c r="O217" s="37"/>
      <x:c r="P217" s="37"/>
      <x:c r="Q217" s="37"/>
      <x:c r="R217" s="37"/>
      <x:c r="S217" s="37"/>
      <x:c r="T217" s="37"/>
      <x:c r="U217" s="37"/>
      <x:c r="V217" s="37"/>
      <x:c r="W217" s="37"/>
      <x:c r="X217" s="37"/>
      <x:c r="Y217" s="37"/>
      <x:c r="Z217" s="37"/>
    </x:row>
    <x:row r="218">
      <x:c r="A218" s="37"/>
      <x:c r="B218" s="37"/>
      <x:c r="C218" s="37"/>
      <x:c r="D218" s="37"/>
      <x:c r="E218" s="37"/>
      <x:c r="F218" s="37"/>
      <x:c r="G218" s="37"/>
      <x:c r="H218" s="37"/>
      <x:c r="I218" s="37"/>
      <x:c r="J218" s="37"/>
      <x:c r="K218" s="37"/>
      <x:c r="L218" s="37"/>
      <x:c r="M218" s="37"/>
      <x:c r="N218" s="37"/>
      <x:c r="O218" s="37"/>
      <x:c r="P218" s="37"/>
      <x:c r="Q218" s="37"/>
      <x:c r="R218" s="37"/>
      <x:c r="S218" s="37"/>
      <x:c r="T218" s="37"/>
      <x:c r="U218" s="37"/>
      <x:c r="V218" s="37"/>
      <x:c r="W218" s="37"/>
      <x:c r="X218" s="37"/>
      <x:c r="Y218" s="37"/>
      <x:c r="Z218" s="37"/>
    </x:row>
    <x:row r="219">
      <x:c r="A219" s="37"/>
      <x:c r="B219" s="37"/>
      <x:c r="C219" s="37"/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  <x:c r="X219" s="37"/>
      <x:c r="Y219" s="37"/>
      <x:c r="Z219" s="37"/>
    </x:row>
    <x:row r="220">
      <x:c r="A220" s="37"/>
      <x:c r="B220" s="37"/>
      <x:c r="C220" s="37"/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  <x:c r="X220" s="37"/>
      <x:c r="Y220" s="37"/>
      <x:c r="Z220" s="37"/>
    </x:row>
    <x:row r="221">
      <x:c r="A221" s="37"/>
      <x:c r="B221" s="37"/>
      <x:c r="C221" s="37"/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  <x:c r="X221" s="37"/>
      <x:c r="Y221" s="37"/>
      <x:c r="Z221" s="37"/>
    </x:row>
    <x:row r="222">
      <x:c r="A222" s="37"/>
      <x:c r="B222" s="37"/>
      <x:c r="C222" s="37"/>
      <x:c r="D222" s="37"/>
      <x:c r="E222" s="37"/>
      <x:c r="F222" s="37"/>
      <x:c r="G222" s="37"/>
      <x:c r="H222" s="37"/>
      <x:c r="I222" s="37"/>
      <x:c r="J222" s="37"/>
      <x:c r="K222" s="37"/>
      <x:c r="L222" s="37"/>
      <x:c r="M222" s="37"/>
      <x:c r="N222" s="37"/>
      <x:c r="O222" s="37"/>
      <x:c r="P222" s="37"/>
      <x:c r="Q222" s="37"/>
      <x:c r="R222" s="37"/>
      <x:c r="S222" s="37"/>
      <x:c r="T222" s="37"/>
      <x:c r="U222" s="37"/>
      <x:c r="V222" s="37"/>
      <x:c r="W222" s="37"/>
      <x:c r="X222" s="37"/>
      <x:c r="Y222" s="37"/>
      <x:c r="Z222" s="37"/>
    </x:row>
    <x:row r="223">
      <x:c r="A223" s="37"/>
      <x:c r="B223" s="37"/>
      <x:c r="C223" s="37"/>
      <x:c r="D223" s="37"/>
      <x:c r="E223" s="37"/>
      <x:c r="F223" s="37"/>
      <x:c r="G223" s="37"/>
      <x:c r="H223" s="37"/>
      <x:c r="I223" s="37"/>
      <x:c r="J223" s="37"/>
      <x:c r="K223" s="37"/>
      <x:c r="L223" s="37"/>
      <x:c r="M223" s="37"/>
      <x:c r="N223" s="37"/>
      <x:c r="O223" s="37"/>
      <x:c r="P223" s="37"/>
      <x:c r="Q223" s="37"/>
      <x:c r="R223" s="37"/>
      <x:c r="S223" s="37"/>
      <x:c r="T223" s="37"/>
      <x:c r="U223" s="37"/>
      <x:c r="V223" s="37"/>
      <x:c r="W223" s="37"/>
      <x:c r="X223" s="37"/>
      <x:c r="Y223" s="37"/>
      <x:c r="Z223" s="37"/>
    </x:row>
    <x:row r="224">
      <x:c r="A224" s="37"/>
      <x:c r="B224" s="37"/>
      <x:c r="C224" s="37"/>
      <x:c r="D224" s="37"/>
      <x:c r="E224" s="37"/>
      <x:c r="F224" s="37"/>
      <x:c r="G224" s="37"/>
      <x:c r="H224" s="37"/>
      <x:c r="I224" s="37"/>
      <x:c r="J224" s="37"/>
      <x:c r="K224" s="37"/>
      <x:c r="L224" s="37"/>
      <x:c r="M224" s="37"/>
      <x:c r="N224" s="37"/>
      <x:c r="O224" s="37"/>
      <x:c r="P224" s="37"/>
      <x:c r="Q224" s="37"/>
      <x:c r="R224" s="37"/>
      <x:c r="S224" s="37"/>
      <x:c r="T224" s="37"/>
      <x:c r="U224" s="37"/>
      <x:c r="V224" s="37"/>
      <x:c r="W224" s="37"/>
      <x:c r="X224" s="37"/>
      <x:c r="Y224" s="37"/>
      <x:c r="Z224" s="37"/>
    </x:row>
    <x:row r="225">
      <x:c r="A225" s="37"/>
      <x:c r="B225" s="37"/>
      <x:c r="C225" s="37"/>
      <x:c r="D225" s="37"/>
      <x:c r="E225" s="37"/>
      <x:c r="F225" s="37"/>
      <x:c r="G225" s="37"/>
      <x:c r="H225" s="37"/>
      <x:c r="I225" s="37"/>
      <x:c r="J225" s="37"/>
      <x:c r="K225" s="37"/>
      <x:c r="L225" s="37"/>
      <x:c r="M225" s="37"/>
      <x:c r="N225" s="37"/>
      <x:c r="O225" s="37"/>
      <x:c r="P225" s="37"/>
      <x:c r="Q225" s="37"/>
      <x:c r="R225" s="37"/>
      <x:c r="S225" s="37"/>
      <x:c r="T225" s="37"/>
      <x:c r="U225" s="37"/>
      <x:c r="V225" s="37"/>
      <x:c r="W225" s="37"/>
      <x:c r="X225" s="37"/>
      <x:c r="Y225" s="37"/>
      <x:c r="Z225" s="37"/>
    </x:row>
    <x:row r="226">
      <x:c r="A226" s="37"/>
      <x:c r="B226" s="37"/>
      <x:c r="C226" s="37"/>
      <x:c r="D226" s="37"/>
      <x:c r="E226" s="37"/>
      <x:c r="F226" s="37"/>
      <x:c r="G226" s="37"/>
      <x:c r="H226" s="37"/>
      <x:c r="I226" s="37"/>
      <x:c r="J226" s="37"/>
      <x:c r="K226" s="37"/>
      <x:c r="L226" s="37"/>
      <x:c r="M226" s="37"/>
      <x:c r="N226" s="37"/>
      <x:c r="O226" s="37"/>
      <x:c r="P226" s="37"/>
      <x:c r="Q226" s="37"/>
      <x:c r="R226" s="37"/>
      <x:c r="S226" s="37"/>
      <x:c r="T226" s="37"/>
      <x:c r="U226" s="37"/>
      <x:c r="V226" s="37"/>
      <x:c r="W226" s="37"/>
      <x:c r="X226" s="37"/>
      <x:c r="Y226" s="37"/>
      <x:c r="Z226" s="37"/>
    </x:row>
    <x:row r="227">
      <x:c r="A227" s="37"/>
      <x:c r="B227" s="37"/>
      <x:c r="C227" s="37"/>
      <x:c r="D227" s="37"/>
      <x:c r="E227" s="37"/>
      <x:c r="F227" s="37"/>
      <x:c r="G227" s="37"/>
      <x:c r="H227" s="37"/>
      <x:c r="I227" s="37"/>
      <x:c r="J227" s="37"/>
      <x:c r="K227" s="37"/>
      <x:c r="L227" s="37"/>
      <x:c r="M227" s="37"/>
      <x:c r="N227" s="37"/>
      <x:c r="O227" s="37"/>
      <x:c r="P227" s="37"/>
      <x:c r="Q227" s="37"/>
      <x:c r="R227" s="37"/>
      <x:c r="S227" s="37"/>
      <x:c r="T227" s="37"/>
      <x:c r="U227" s="37"/>
      <x:c r="V227" s="37"/>
      <x:c r="W227" s="37"/>
      <x:c r="X227" s="37"/>
      <x:c r="Y227" s="37"/>
      <x:c r="Z227" s="37"/>
    </x:row>
    <x:row r="228">
      <x:c r="A228" s="37"/>
      <x:c r="B228" s="37"/>
      <x:c r="C228" s="37"/>
      <x:c r="D228" s="37"/>
      <x:c r="E228" s="37"/>
      <x:c r="F228" s="37"/>
      <x:c r="G228" s="37"/>
      <x:c r="H228" s="37"/>
      <x:c r="I228" s="37"/>
      <x:c r="J228" s="37"/>
      <x:c r="K228" s="37"/>
      <x:c r="L228" s="37"/>
      <x:c r="M228" s="37"/>
      <x:c r="N228" s="37"/>
      <x:c r="O228" s="37"/>
      <x:c r="P228" s="37"/>
      <x:c r="Q228" s="37"/>
      <x:c r="R228" s="37"/>
      <x:c r="S228" s="37"/>
      <x:c r="T228" s="37"/>
      <x:c r="U228" s="37"/>
      <x:c r="V228" s="37"/>
      <x:c r="W228" s="37"/>
      <x:c r="X228" s="37"/>
      <x:c r="Y228" s="37"/>
      <x:c r="Z228" s="37"/>
    </x:row>
    <x:row r="229">
      <x:c r="A229" s="37"/>
      <x:c r="B229" s="37"/>
      <x:c r="C229" s="37"/>
      <x:c r="D229" s="37"/>
      <x:c r="E229" s="37"/>
      <x:c r="F229" s="37"/>
      <x:c r="G229" s="37"/>
      <x:c r="H229" s="37"/>
      <x:c r="I229" s="37"/>
      <x:c r="J229" s="37"/>
      <x:c r="K229" s="37"/>
      <x:c r="L229" s="37"/>
      <x:c r="M229" s="37"/>
      <x:c r="N229" s="37"/>
      <x:c r="O229" s="37"/>
      <x:c r="P229" s="37"/>
      <x:c r="Q229" s="37"/>
      <x:c r="R229" s="37"/>
      <x:c r="S229" s="37"/>
      <x:c r="T229" s="37"/>
      <x:c r="U229" s="37"/>
      <x:c r="V229" s="37"/>
      <x:c r="W229" s="37"/>
      <x:c r="X229" s="37"/>
      <x:c r="Y229" s="37"/>
      <x:c r="Z229" s="37"/>
    </x:row>
    <x:row r="230">
      <x:c r="A230" s="37"/>
      <x:c r="B230" s="37"/>
      <x:c r="C230" s="37"/>
      <x:c r="D230" s="37"/>
      <x:c r="E230" s="37"/>
      <x:c r="F230" s="37"/>
      <x:c r="G230" s="37"/>
      <x:c r="H230" s="37"/>
      <x:c r="I230" s="37"/>
      <x:c r="J230" s="37"/>
      <x:c r="K230" s="37"/>
      <x:c r="L230" s="37"/>
      <x:c r="M230" s="37"/>
      <x:c r="N230" s="37"/>
      <x:c r="O230" s="37"/>
      <x:c r="P230" s="37"/>
      <x:c r="Q230" s="37"/>
      <x:c r="R230" s="37"/>
      <x:c r="S230" s="37"/>
      <x:c r="T230" s="37"/>
      <x:c r="U230" s="37"/>
      <x:c r="V230" s="37"/>
      <x:c r="W230" s="37"/>
      <x:c r="X230" s="37"/>
      <x:c r="Y230" s="37"/>
      <x:c r="Z230" s="37"/>
    </x:row>
    <x:row r="231">
      <x:c r="A231" s="37"/>
      <x:c r="B231" s="37"/>
      <x:c r="C231" s="37"/>
      <x:c r="D231" s="37"/>
      <x:c r="E231" s="37"/>
      <x:c r="F231" s="37"/>
      <x:c r="G231" s="37"/>
      <x:c r="H231" s="37"/>
      <x:c r="I231" s="37"/>
      <x:c r="J231" s="37"/>
      <x:c r="K231" s="37"/>
      <x:c r="L231" s="37"/>
      <x:c r="M231" s="37"/>
      <x:c r="N231" s="37"/>
      <x:c r="O231" s="37"/>
      <x:c r="P231" s="37"/>
      <x:c r="Q231" s="37"/>
      <x:c r="R231" s="37"/>
      <x:c r="S231" s="37"/>
      <x:c r="T231" s="37"/>
      <x:c r="U231" s="37"/>
      <x:c r="V231" s="37"/>
      <x:c r="W231" s="37"/>
      <x:c r="X231" s="37"/>
      <x:c r="Y231" s="37"/>
      <x:c r="Z231" s="37"/>
    </x:row>
    <x:row r="232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  <x:c r="K232" s="37"/>
      <x:c r="L232" s="37"/>
      <x:c r="M232" s="37"/>
      <x:c r="N232" s="37"/>
      <x:c r="O232" s="37"/>
      <x:c r="P232" s="37"/>
      <x:c r="Q232" s="37"/>
      <x:c r="R232" s="37"/>
      <x:c r="S232" s="37"/>
      <x:c r="T232" s="37"/>
      <x:c r="U232" s="37"/>
      <x:c r="V232" s="37"/>
      <x:c r="W232" s="37"/>
      <x:c r="X232" s="37"/>
      <x:c r="Y232" s="37"/>
      <x:c r="Z232" s="37"/>
    </x:row>
    <x:row r="233">
      <x:c r="A233" s="37"/>
      <x:c r="B233" s="37"/>
      <x:c r="C233" s="37"/>
      <x:c r="D233" s="37"/>
      <x:c r="E233" s="37"/>
      <x:c r="F233" s="37"/>
      <x:c r="G233" s="37"/>
      <x:c r="H233" s="37"/>
      <x:c r="I233" s="37"/>
      <x:c r="J233" s="37"/>
      <x:c r="K233" s="37"/>
      <x:c r="L233" s="37"/>
      <x:c r="M233" s="37"/>
      <x:c r="N233" s="37"/>
      <x:c r="O233" s="37"/>
      <x:c r="P233" s="37"/>
      <x:c r="Q233" s="37"/>
      <x:c r="R233" s="37"/>
      <x:c r="S233" s="37"/>
      <x:c r="T233" s="37"/>
      <x:c r="U233" s="37"/>
      <x:c r="V233" s="37"/>
      <x:c r="W233" s="37"/>
      <x:c r="X233" s="37"/>
      <x:c r="Y233" s="37"/>
      <x:c r="Z233" s="37"/>
    </x:row>
    <x:row r="234">
      <x:c r="A234" s="37"/>
      <x:c r="B234" s="37"/>
      <x:c r="C234" s="37"/>
      <x:c r="D234" s="37"/>
      <x:c r="E234" s="37"/>
      <x:c r="F234" s="37"/>
      <x:c r="G234" s="37"/>
      <x:c r="H234" s="37"/>
      <x:c r="I234" s="37"/>
      <x:c r="J234" s="37"/>
      <x:c r="K234" s="37"/>
      <x:c r="L234" s="37"/>
      <x:c r="M234" s="37"/>
      <x:c r="N234" s="37"/>
      <x:c r="O234" s="37"/>
      <x:c r="P234" s="37"/>
      <x:c r="Q234" s="37"/>
      <x:c r="R234" s="37"/>
      <x:c r="S234" s="37"/>
      <x:c r="T234" s="37"/>
      <x:c r="U234" s="37"/>
      <x:c r="V234" s="37"/>
      <x:c r="W234" s="37"/>
      <x:c r="X234" s="37"/>
      <x:c r="Y234" s="37"/>
      <x:c r="Z234" s="37"/>
    </x:row>
    <x:row r="235">
      <x:c r="A235" s="37"/>
      <x:c r="B235" s="37"/>
      <x:c r="C235" s="37"/>
      <x:c r="D235" s="37"/>
      <x:c r="E235" s="37"/>
      <x:c r="F235" s="37"/>
      <x:c r="G235" s="37"/>
      <x:c r="H235" s="37"/>
      <x:c r="I235" s="37"/>
      <x:c r="J235" s="37"/>
      <x:c r="K235" s="37"/>
      <x:c r="L235" s="37"/>
      <x:c r="M235" s="37"/>
      <x:c r="N235" s="37"/>
      <x:c r="O235" s="37"/>
      <x:c r="P235" s="37"/>
      <x:c r="Q235" s="37"/>
      <x:c r="R235" s="37"/>
      <x:c r="S235" s="37"/>
      <x:c r="T235" s="37"/>
      <x:c r="U235" s="37"/>
      <x:c r="V235" s="37"/>
      <x:c r="W235" s="37"/>
      <x:c r="X235" s="37"/>
      <x:c r="Y235" s="37"/>
      <x:c r="Z235" s="37"/>
    </x:row>
    <x:row r="236">
      <x:c r="A236" s="37"/>
      <x:c r="B236" s="37"/>
      <x:c r="C236" s="37"/>
      <x:c r="D236" s="37"/>
      <x:c r="E236" s="37"/>
      <x:c r="F236" s="37"/>
      <x:c r="G236" s="37"/>
      <x:c r="H236" s="37"/>
      <x:c r="I236" s="37"/>
      <x:c r="J236" s="37"/>
      <x:c r="K236" s="37"/>
      <x:c r="L236" s="37"/>
      <x:c r="M236" s="37"/>
      <x:c r="N236" s="37"/>
      <x:c r="O236" s="37"/>
      <x:c r="P236" s="37"/>
      <x:c r="Q236" s="37"/>
      <x:c r="R236" s="37"/>
      <x:c r="S236" s="37"/>
      <x:c r="T236" s="37"/>
      <x:c r="U236" s="37"/>
      <x:c r="V236" s="37"/>
      <x:c r="W236" s="37"/>
      <x:c r="X236" s="37"/>
      <x:c r="Y236" s="37"/>
      <x:c r="Z236" s="37"/>
    </x:row>
    <x:row r="237">
      <x:c r="A237" s="37"/>
      <x:c r="B237" s="37"/>
      <x:c r="C237" s="37"/>
      <x:c r="D237" s="37"/>
      <x:c r="E237" s="37"/>
      <x:c r="F237" s="37"/>
      <x:c r="G237" s="37"/>
      <x:c r="H237" s="37"/>
      <x:c r="I237" s="37"/>
      <x:c r="J237" s="37"/>
      <x:c r="K237" s="37"/>
      <x:c r="L237" s="37"/>
      <x:c r="M237" s="37"/>
      <x:c r="N237" s="37"/>
      <x:c r="O237" s="37"/>
      <x:c r="P237" s="37"/>
      <x:c r="Q237" s="37"/>
      <x:c r="R237" s="37"/>
      <x:c r="S237" s="37"/>
      <x:c r="T237" s="37"/>
      <x:c r="U237" s="37"/>
      <x:c r="V237" s="37"/>
      <x:c r="W237" s="37"/>
      <x:c r="X237" s="37"/>
      <x:c r="Y237" s="37"/>
      <x:c r="Z237" s="37"/>
    </x:row>
    <x:row r="238">
      <x:c r="A238" s="37"/>
      <x:c r="B238" s="37"/>
      <x:c r="C238" s="37"/>
      <x:c r="D238" s="37"/>
      <x:c r="E238" s="37"/>
      <x:c r="F238" s="37"/>
      <x:c r="G238" s="37"/>
      <x:c r="H238" s="37"/>
      <x:c r="I238" s="37"/>
      <x:c r="J238" s="37"/>
      <x:c r="K238" s="37"/>
      <x:c r="L238" s="37"/>
      <x:c r="M238" s="37"/>
      <x:c r="N238" s="37"/>
      <x:c r="O238" s="37"/>
      <x:c r="P238" s="37"/>
      <x:c r="Q238" s="37"/>
      <x:c r="R238" s="37"/>
      <x:c r="S238" s="37"/>
      <x:c r="T238" s="37"/>
      <x:c r="U238" s="37"/>
      <x:c r="V238" s="37"/>
      <x:c r="W238" s="37"/>
      <x:c r="X238" s="37"/>
      <x:c r="Y238" s="37"/>
      <x:c r="Z238" s="37"/>
    </x:row>
    <x:row r="239">
      <x:c r="A239" s="37"/>
      <x:c r="B239" s="37"/>
      <x:c r="C239" s="37"/>
      <x:c r="D239" s="37"/>
      <x:c r="E239" s="37"/>
      <x:c r="F239" s="37"/>
      <x:c r="G239" s="37"/>
      <x:c r="H239" s="37"/>
      <x:c r="I239" s="37"/>
      <x:c r="J239" s="37"/>
      <x:c r="K239" s="37"/>
      <x:c r="L239" s="37"/>
      <x:c r="M239" s="37"/>
      <x:c r="N239" s="37"/>
      <x:c r="O239" s="37"/>
      <x:c r="P239" s="37"/>
      <x:c r="Q239" s="37"/>
      <x:c r="R239" s="37"/>
      <x:c r="S239" s="37"/>
      <x:c r="T239" s="37"/>
      <x:c r="U239" s="37"/>
      <x:c r="V239" s="37"/>
      <x:c r="W239" s="37"/>
      <x:c r="X239" s="37"/>
      <x:c r="Y239" s="37"/>
      <x:c r="Z239" s="37"/>
    </x:row>
    <x:row r="240">
      <x:c r="A240" s="37"/>
      <x:c r="B240" s="37"/>
      <x:c r="C240" s="37"/>
      <x:c r="D240" s="37"/>
      <x:c r="E240" s="37"/>
      <x:c r="F240" s="37"/>
      <x:c r="G240" s="37"/>
      <x:c r="H240" s="37"/>
      <x:c r="I240" s="37"/>
      <x:c r="J240" s="37"/>
      <x:c r="K240" s="37"/>
      <x:c r="L240" s="37"/>
      <x:c r="M240" s="37"/>
      <x:c r="N240" s="37"/>
      <x:c r="O240" s="37"/>
      <x:c r="P240" s="37"/>
      <x:c r="Q240" s="37"/>
      <x:c r="R240" s="37"/>
      <x:c r="S240" s="37"/>
      <x:c r="T240" s="37"/>
      <x:c r="U240" s="37"/>
      <x:c r="V240" s="37"/>
      <x:c r="W240" s="37"/>
      <x:c r="X240" s="37"/>
      <x:c r="Y240" s="37"/>
      <x:c r="Z240" s="37"/>
    </x:row>
    <x:row r="241">
      <x:c r="A241" s="37"/>
      <x:c r="B241" s="37"/>
      <x:c r="C241" s="37"/>
      <x:c r="D241" s="37"/>
      <x:c r="E241" s="37"/>
      <x:c r="F241" s="37"/>
      <x:c r="G241" s="37"/>
      <x:c r="H241" s="37"/>
      <x:c r="I241" s="37"/>
      <x:c r="J241" s="37"/>
      <x:c r="K241" s="37"/>
      <x:c r="L241" s="37"/>
      <x:c r="M241" s="37"/>
      <x:c r="N241" s="37"/>
      <x:c r="O241" s="37"/>
      <x:c r="P241" s="37"/>
      <x:c r="Q241" s="37"/>
      <x:c r="R241" s="37"/>
      <x:c r="S241" s="37"/>
      <x:c r="T241" s="37"/>
      <x:c r="U241" s="37"/>
      <x:c r="V241" s="37"/>
      <x:c r="W241" s="37"/>
      <x:c r="X241" s="37"/>
      <x:c r="Y241" s="37"/>
      <x:c r="Z241" s="37"/>
    </x:row>
    <x:row r="242">
      <x:c r="A242" s="37"/>
      <x:c r="B242" s="37"/>
      <x:c r="C242" s="37"/>
      <x:c r="D242" s="37"/>
      <x:c r="E242" s="37"/>
      <x:c r="F242" s="37"/>
      <x:c r="G242" s="37"/>
      <x:c r="H242" s="37"/>
      <x:c r="I242" s="37"/>
      <x:c r="J242" s="37"/>
      <x:c r="K242" s="37"/>
      <x:c r="L242" s="37"/>
      <x:c r="M242" s="37"/>
      <x:c r="N242" s="37"/>
      <x:c r="O242" s="37"/>
      <x:c r="P242" s="37"/>
      <x:c r="Q242" s="37"/>
      <x:c r="R242" s="37"/>
      <x:c r="S242" s="37"/>
      <x:c r="T242" s="37"/>
      <x:c r="U242" s="37"/>
      <x:c r="V242" s="37"/>
      <x:c r="W242" s="37"/>
      <x:c r="X242" s="37"/>
      <x:c r="Y242" s="37"/>
      <x:c r="Z242" s="37"/>
    </x:row>
    <x:row r="243">
      <x:c r="A243" s="37"/>
      <x:c r="B243" s="37"/>
      <x:c r="C243" s="37"/>
      <x:c r="D243" s="37"/>
      <x:c r="E243" s="37"/>
      <x:c r="F243" s="37"/>
      <x:c r="G243" s="37"/>
      <x:c r="H243" s="37"/>
      <x:c r="I243" s="37"/>
      <x:c r="J243" s="37"/>
      <x:c r="K243" s="37"/>
      <x:c r="L243" s="37"/>
      <x:c r="M243" s="37"/>
      <x:c r="N243" s="37"/>
      <x:c r="O243" s="37"/>
      <x:c r="P243" s="37"/>
      <x:c r="Q243" s="37"/>
      <x:c r="R243" s="37"/>
      <x:c r="S243" s="37"/>
      <x:c r="T243" s="37"/>
      <x:c r="U243" s="37"/>
      <x:c r="V243" s="37"/>
      <x:c r="W243" s="37"/>
      <x:c r="X243" s="37"/>
      <x:c r="Y243" s="37"/>
      <x:c r="Z243" s="37"/>
    </x:row>
    <x:row r="244">
      <x:c r="A244" s="37"/>
      <x:c r="B244" s="37"/>
      <x:c r="C244" s="37"/>
      <x:c r="D244" s="37"/>
      <x:c r="E244" s="37"/>
      <x:c r="F244" s="37"/>
      <x:c r="G244" s="37"/>
      <x:c r="H244" s="37"/>
      <x:c r="I244" s="37"/>
      <x:c r="J244" s="37"/>
      <x:c r="K244" s="37"/>
      <x:c r="L244" s="37"/>
      <x:c r="M244" s="37"/>
      <x:c r="N244" s="37"/>
      <x:c r="O244" s="37"/>
      <x:c r="P244" s="37"/>
      <x:c r="Q244" s="37"/>
      <x:c r="R244" s="37"/>
      <x:c r="S244" s="37"/>
      <x:c r="T244" s="37"/>
      <x:c r="U244" s="37"/>
      <x:c r="V244" s="37"/>
      <x:c r="W244" s="37"/>
      <x:c r="X244" s="37"/>
      <x:c r="Y244" s="37"/>
      <x:c r="Z244" s="37"/>
    </x:row>
    <x:row r="245">
      <x:c r="A245" s="37"/>
      <x:c r="B245" s="37"/>
      <x:c r="C245" s="37"/>
      <x:c r="D245" s="37"/>
      <x:c r="E245" s="37"/>
      <x:c r="F245" s="37"/>
      <x:c r="G245" s="37"/>
      <x:c r="H245" s="37"/>
      <x:c r="I245" s="37"/>
      <x:c r="J245" s="37"/>
      <x:c r="K245" s="37"/>
      <x:c r="L245" s="37"/>
      <x:c r="M245" s="37"/>
      <x:c r="N245" s="37"/>
      <x:c r="O245" s="37"/>
      <x:c r="P245" s="37"/>
      <x:c r="Q245" s="37"/>
      <x:c r="R245" s="37"/>
      <x:c r="S245" s="37"/>
      <x:c r="T245" s="37"/>
      <x:c r="U245" s="37"/>
      <x:c r="V245" s="37"/>
      <x:c r="W245" s="37"/>
      <x:c r="X245" s="37"/>
      <x:c r="Y245" s="37"/>
      <x:c r="Z245" s="37"/>
    </x:row>
    <x:row r="246">
      <x:c r="A246" s="37"/>
      <x:c r="B246" s="37"/>
      <x:c r="C246" s="37"/>
      <x:c r="D246" s="37"/>
      <x:c r="E246" s="37"/>
      <x:c r="F246" s="37"/>
      <x:c r="G246" s="37"/>
      <x:c r="H246" s="37"/>
      <x:c r="I246" s="37"/>
      <x:c r="J246" s="37"/>
      <x:c r="K246" s="37"/>
      <x:c r="L246" s="37"/>
      <x:c r="M246" s="37"/>
      <x:c r="N246" s="37"/>
      <x:c r="O246" s="37"/>
      <x:c r="P246" s="37"/>
      <x:c r="Q246" s="37"/>
      <x:c r="R246" s="37"/>
      <x:c r="S246" s="37"/>
      <x:c r="T246" s="37"/>
      <x:c r="U246" s="37"/>
      <x:c r="V246" s="37"/>
      <x:c r="W246" s="37"/>
      <x:c r="X246" s="37"/>
      <x:c r="Y246" s="37"/>
      <x:c r="Z246" s="37"/>
    </x:row>
    <x:row r="247">
      <x:c r="A247" s="37"/>
      <x:c r="B247" s="37"/>
      <x:c r="C247" s="37"/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  <x:c r="T247" s="37"/>
      <x:c r="U247" s="37"/>
      <x:c r="V247" s="37"/>
      <x:c r="W247" s="37"/>
      <x:c r="X247" s="37"/>
      <x:c r="Y247" s="37"/>
      <x:c r="Z247" s="37"/>
    </x:row>
    <x:row r="248">
      <x:c r="A248" s="37"/>
      <x:c r="B248" s="37"/>
      <x:c r="C248" s="37"/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  <x:c r="T248" s="37"/>
      <x:c r="U248" s="37"/>
      <x:c r="V248" s="37"/>
      <x:c r="W248" s="37"/>
      <x:c r="X248" s="37"/>
      <x:c r="Y248" s="37"/>
      <x:c r="Z248" s="37"/>
    </x:row>
    <x:row r="249">
      <x:c r="A249" s="37"/>
      <x:c r="B249" s="37"/>
      <x:c r="C249" s="37"/>
      <x:c r="D249" s="37"/>
      <x:c r="E249" s="37"/>
      <x:c r="F249" s="37"/>
      <x:c r="G249" s="37"/>
      <x:c r="H249" s="37"/>
      <x:c r="I249" s="37"/>
      <x:c r="J249" s="37"/>
      <x:c r="K249" s="37"/>
      <x:c r="L249" s="37"/>
      <x:c r="M249" s="37"/>
      <x:c r="N249" s="37"/>
      <x:c r="O249" s="37"/>
      <x:c r="P249" s="37"/>
      <x:c r="Q249" s="37"/>
      <x:c r="R249" s="37"/>
      <x:c r="S249" s="37"/>
      <x:c r="T249" s="37"/>
      <x:c r="U249" s="37"/>
      <x:c r="V249" s="37"/>
      <x:c r="W249" s="37"/>
      <x:c r="X249" s="37"/>
      <x:c r="Y249" s="37"/>
      <x:c r="Z249" s="37"/>
    </x:row>
    <x:row r="250">
      <x:c r="A250" s="37"/>
      <x:c r="B250" s="37"/>
      <x:c r="C250" s="37"/>
      <x:c r="D250" s="37"/>
      <x:c r="E250" s="37"/>
      <x:c r="F250" s="37"/>
      <x:c r="G250" s="37"/>
      <x:c r="H250" s="37"/>
      <x:c r="I250" s="37"/>
      <x:c r="J250" s="37"/>
      <x:c r="K250" s="37"/>
      <x:c r="L250" s="37"/>
      <x:c r="M250" s="37"/>
      <x:c r="N250" s="37"/>
      <x:c r="O250" s="37"/>
      <x:c r="P250" s="37"/>
      <x:c r="Q250" s="37"/>
      <x:c r="R250" s="37"/>
      <x:c r="S250" s="37"/>
      <x:c r="T250" s="37"/>
      <x:c r="U250" s="37"/>
      <x:c r="V250" s="37"/>
      <x:c r="W250" s="37"/>
      <x:c r="X250" s="37"/>
      <x:c r="Y250" s="37"/>
      <x:c r="Z250" s="37"/>
    </x:row>
  </x:sheetData>
  <x:dataValidations count="3">
    <x:dataValidation type="list" sqref="I6:I100">
      <x:formula1>"Small,Medium,Large,Unknown"</x:formula1>
    </x:dataValidation>
    <x:dataValidation type="list" sqref="J6:J100">
      <x:formula1>"Critical,High,Medium,Low"</x:formula1>
    </x:dataValidation>
    <x:dataValidation type="list" sqref="L6:L100">
      <x:formula1>"Proposed,Accepted,Deferred,Rejected,Implemented"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6ae2d74c86446c"/>
  </x:tableParts>
</x:worksheet>
</file>